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KPI_Summary" sheetId="2" state="visible" r:id="rId2"/>
    <sheet name="Segments" sheetId="3" state="visible" r:id="rId3"/>
    <sheet name="Campaign_Lookup" sheetId="4" state="visible" r:id="rId4"/>
    <sheet name="Floor_Model" sheetId="5" state="visible" r:id="rId5"/>
    <sheet name="AB_Test" sheetId="6" state="visible" r:id="rId6"/>
    <sheet name="Daily" sheetId="7" state="visible" r:id="rId7"/>
    <sheet name="Advertisers" sheetId="8" state="visible" r:id="rId8"/>
    <sheet name="Campaigns" sheetId="9" state="visible" r:id="rId9"/>
    <sheet name="FloorData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11">
    <numFmt numFmtId="164" formatCode="0.0%"/>
    <numFmt numFmtId="165" formatCode="0.000"/>
    <numFmt numFmtId="166" formatCode="0.000%"/>
    <numFmt numFmtId="167" formatCode="0.0000"/>
    <numFmt numFmtId="168" formatCode="0.0&quot;x&quot;"/>
    <numFmt numFmtId="169" formatCode="#,##0.0000"/>
    <numFmt numFmtId="170" formatCode="0.000000"/>
    <numFmt numFmtId="171" formatCode="0.00&quot;x&quot;"/>
    <numFmt numFmtId="172" formatCode="+0.0%;-0.0%;0.0%"/>
    <numFmt numFmtId="173" formatCode="0.0000%"/>
    <numFmt numFmtId="174" formatCode="+0.0%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7A5B00"/>
    </font>
    <font>
      <i val="1"/>
      <color rgb="005B6168"/>
    </font>
    <font>
      <b val="1"/>
      <color rgb="00F4F1EA"/>
    </font>
  </fonts>
  <fills count="4">
    <fill>
      <patternFill/>
    </fill>
    <fill>
      <patternFill patternType="gray125"/>
    </fill>
    <fill>
      <patternFill patternType="solid">
        <fgColor rgb="000F111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bottom style="thin">
        <color rgb="00D0CCC2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49" fontId="0" fillId="0" borderId="1" pivotButton="0" quotePrefix="0" xfId="0"/>
    <xf numFmtId="0" fontId="5" fillId="2" borderId="0" applyAlignment="1" pivotButton="0" quotePrefix="0" xfId="0">
      <alignment horizontal="center" vertical="center" wrapText="1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3" fontId="0" fillId="0" borderId="0" pivotButton="0" quotePrefix="0" xfId="0"/>
    <xf numFmtId="167" fontId="0" fillId="0" borderId="0" pivotButton="0" quotePrefix="0" xfId="0"/>
    <xf numFmtId="2" fontId="0" fillId="0" borderId="0" pivotButton="0" quotePrefix="0" xfId="0"/>
    <xf numFmtId="1" fontId="2" fillId="0" borderId="0" pivotButton="0" quotePrefix="0" xfId="0"/>
    <xf numFmtId="4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167" fontId="2" fillId="0" borderId="0" pivotButton="0" quotePrefix="0" xfId="0"/>
    <xf numFmtId="2" fontId="2" fillId="0" borderId="0" pivotButton="0" quotePrefix="0" xfId="0"/>
    <xf numFmtId="168" fontId="0" fillId="0" borderId="0" pivotButton="0" quotePrefix="0" xfId="0"/>
    <xf numFmtId="0" fontId="3" fillId="3" borderId="0" pivotButton="0" quotePrefix="0" xfId="0"/>
    <xf numFmtId="1" fontId="0" fillId="0" borderId="0" pivotButton="0" quotePrefix="0" xfId="0"/>
    <xf numFmtId="169" fontId="0" fillId="0" borderId="0" pivotButton="0" quotePrefix="0" xfId="0"/>
    <xf numFmtId="10" fontId="0" fillId="0" borderId="0" pivotButton="0" quotePrefix="0" xfId="0"/>
    <xf numFmtId="170" fontId="0" fillId="0" borderId="0" pivotButton="0" quotePrefix="0" xfId="0"/>
    <xf numFmtId="49" fontId="0" fillId="0" borderId="0" pivotButton="0" quotePrefix="0" xfId="0"/>
    <xf numFmtId="171" fontId="0" fillId="0" borderId="0" pivotButton="0" quotePrefix="0" xfId="0"/>
    <xf numFmtId="9" fontId="3" fillId="3" borderId="0" pivotButton="0" quotePrefix="0" xfId="0"/>
    <xf numFmtId="172" fontId="0" fillId="0" borderId="1" pivotButton="0" quotePrefix="0" xfId="0"/>
    <xf numFmtId="9" fontId="5" fillId="2" borderId="0" applyAlignment="1" pivotButton="0" quotePrefix="0" xfId="0">
      <alignment horizontal="center" vertical="center" wrapText="1"/>
    </xf>
    <xf numFmtId="172" fontId="0" fillId="0" borderId="0" pivotButton="0" quotePrefix="0" xfId="0"/>
    <xf numFmtId="3" fontId="3" fillId="3" borderId="0" pivotButton="0" quotePrefix="0" xfId="0"/>
    <xf numFmtId="173" fontId="0" fillId="0" borderId="1" pivotButton="0" quotePrefix="0" xfId="0"/>
    <xf numFmtId="170" fontId="0" fillId="0" borderId="1" pivotButton="0" quotePrefix="0" xfId="0"/>
    <xf numFmtId="174" fontId="0" fillId="0" borderId="1" pivotButton="0" quotePrefix="0" xfId="0"/>
    <xf numFmtId="167" fontId="0" fillId="0" borderId="1" pivotButton="0" quotePrefix="0" xfId="0"/>
    <xf numFmtId="2" fontId="0" fillId="0" borderId="1" pivotButton="0" quotePrefix="0" xfId="0"/>
    <xf numFmtId="11" fontId="0" fillId="0" borderId="1" pivotButton="0" quotePrefix="0" xfId="0"/>
    <xf numFmtId="1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Ads KPI model: ads analytics for a delivery marketplace, built on public ad data</t>
        </is>
      </c>
    </row>
    <row r="2">
      <c r="A2" t="inlineStr">
        <is>
          <t>Not Swiggy data. Sources: iPinYou RTB logs (season 3, Oct 2013), Criteo Attribution, Criteo Uplift v2.1.</t>
        </is>
      </c>
    </row>
    <row r="3">
      <c r="A3" t="inlineStr">
        <is>
          <t>Money: iPinYou in CNY (2013). Criteo cost is a transformed unit; compare campaigns, don't read it as currency.</t>
        </is>
      </c>
    </row>
    <row r="4">
      <c r="A4" t="inlineStr">
        <is>
          <t>Oct 21-28 iPinYou totals are lower bounds (iPinYou withheld a test set); ratios are fair.</t>
        </is>
      </c>
    </row>
    <row r="5">
      <c r="A5" t="inlineStr"/>
    </row>
    <row r="6">
      <c r="A6" s="2" t="inlineStr">
        <is>
          <t>Sheets</t>
        </is>
      </c>
    </row>
    <row r="7">
      <c r="A7" t="inlineStr">
        <is>
          <t>KPI_Summary: totals and ratios from the daily table (SUM), plus per-advertiser KPIs (XLOOKUP).</t>
        </is>
      </c>
    </row>
    <row r="8">
      <c r="A8" t="inlineStr">
        <is>
          <t>Segments: pivot-style summary of 675 campaigns (COUNTIFS / SUMIFS).</t>
        </is>
      </c>
    </row>
    <row r="9">
      <c r="A9" t="inlineStr">
        <is>
          <t>Campaign_Lookup: type a campaign id, get its numbers and segment (XLOOKUP).</t>
        </is>
      </c>
    </row>
    <row r="10">
      <c r="A10" t="inlineStr">
        <is>
          <t>Floor_Model: pick an exchange, a minimum floor and a retention rate; revenue and break-even update.</t>
        </is>
      </c>
    </row>
    <row r="11">
      <c r="A11" t="inlineStr">
        <is>
          <t>AB_Test: A/B readout recomputed with formulas (NORM.S.INV, NORM.S.DIST).</t>
        </is>
      </c>
    </row>
    <row r="12">
      <c r="A12" t="inlineStr">
        <is>
          <t>Daily, Advertisers, Campaigns, FloorData: values exported from the SQL layer.</t>
        </is>
      </c>
    </row>
    <row r="13">
      <c r="A13" t="inlineStr"/>
    </row>
    <row r="14">
      <c r="A14" s="3" t="inlineStr">
        <is>
          <t>Yellow cells are inputs. Everything else is a formula or exported data.</t>
        </is>
      </c>
    </row>
    <row r="15">
      <c r="A15" t="inlineStr">
        <is>
          <t>Google Sheets: Drive &gt; New &gt; File upload &gt; open with Google Sheets. All functions used are supported.</t>
        </is>
      </c>
    </row>
    <row r="16">
      <c r="A16" s="4" t="inlineStr">
        <is>
          <t>Built from outputs/numbers.json; iPinYou window 2013-10-19 to 2013-10-28.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1" t="inlineStr">
        <is>
          <t>Ads P&amp;L KPIs (iPinYou, all days)</t>
        </is>
      </c>
    </row>
    <row r="3">
      <c r="A3" s="5" t="inlineStr">
        <is>
          <t>Bids</t>
        </is>
      </c>
      <c r="B3" s="6">
        <f>SUM(Daily!B2:B11)</f>
        <v/>
      </c>
    </row>
    <row r="4">
      <c r="A4" s="5" t="inlineStr">
        <is>
          <t>Bids won</t>
        </is>
      </c>
      <c r="B4" s="6">
        <f>SUM(Daily!C2:C11)</f>
        <v/>
      </c>
    </row>
    <row r="5">
      <c r="A5" s="5" t="inlineStr">
        <is>
          <t>Win rate</t>
        </is>
      </c>
      <c r="B5" s="7">
        <f>B4/B3</f>
        <v/>
      </c>
      <c r="C5" s="4" t="inlineStr">
        <is>
          <t>stand-in for fill rate (bidder's view)</t>
        </is>
      </c>
    </row>
    <row r="6">
      <c r="A6" s="5" t="inlineStr">
        <is>
          <t>Impressions</t>
        </is>
      </c>
      <c r="B6" s="6">
        <f>SUM(Daily!E2:E11)</f>
        <v/>
      </c>
      <c r="C6" s="4" t="inlineStr">
        <is>
          <t>includes impressions with no matching bid</t>
        </is>
      </c>
    </row>
    <row r="7">
      <c r="A7" s="5" t="inlineStr">
        <is>
          <t>Spend / revenue (CNY)</t>
        </is>
      </c>
      <c r="B7" s="8">
        <f>SUM(Daily!F2:F11)</f>
        <v/>
      </c>
      <c r="C7" s="4" t="inlineStr">
        <is>
          <t>advertiser spend = marketplace ad revenue</t>
        </is>
      </c>
    </row>
    <row r="8">
      <c r="A8" s="5" t="inlineStr">
        <is>
          <t>CPM (CNY per 1,000 imps)</t>
        </is>
      </c>
      <c r="B8" s="9">
        <f>B7*1000/B6</f>
        <v/>
      </c>
      <c r="C8" s="4" t="inlineStr">
        <is>
          <t>ratio of totals, not average of daily CPMs</t>
        </is>
      </c>
    </row>
    <row r="9">
      <c r="A9" s="5" t="inlineStr">
        <is>
          <t>Clicks</t>
        </is>
      </c>
      <c r="B9" s="6">
        <f>SUM(Daily!H2:H11)</f>
        <v/>
      </c>
    </row>
    <row r="10">
      <c r="A10" s="5" t="inlineStr">
        <is>
          <t>CTR</t>
        </is>
      </c>
      <c r="B10" s="10">
        <f>B9/B6</f>
        <v/>
      </c>
    </row>
    <row r="11">
      <c r="A11" s="5" t="inlineStr">
        <is>
          <t>CPC (CNY)</t>
        </is>
      </c>
      <c r="B11" s="9">
        <f>B7/B9</f>
        <v/>
      </c>
    </row>
    <row r="12">
      <c r="A12" s="5" t="inlineStr">
        <is>
          <t>Conversions</t>
        </is>
      </c>
      <c r="B12" s="6">
        <f>SUM(Daily!K2:K11)</f>
        <v/>
      </c>
      <c r="C12" s="4" t="inlineStr">
        <is>
          <t>landing-page visits, 2 advertisers only</t>
        </is>
      </c>
    </row>
    <row r="13">
      <c r="A13" s="5" t="inlineStr">
        <is>
          <t>Best day by spend</t>
        </is>
      </c>
      <c r="B13" s="11">
        <f>INDEX(Daily!A2:A11,MATCH(MAX(Daily!F2:F11),Daily!F2:F11,0))</f>
        <v/>
      </c>
      <c r="C13" s="4" t="inlineStr">
        <is>
          <t>INDEX/MATCH</t>
        </is>
      </c>
    </row>
    <row r="16">
      <c r="A16" s="2" t="inlineStr">
        <is>
          <t>Per advertiser (XLOOKUP into Advertisers)</t>
        </is>
      </c>
    </row>
    <row r="17">
      <c r="A17" s="12" t="inlineStr">
        <is>
          <t>Advertiser id</t>
        </is>
      </c>
      <c r="B17" s="12" t="inlineStr">
        <is>
          <t>Category</t>
        </is>
      </c>
      <c r="C17" s="12" t="inlineStr">
        <is>
          <t>Spend (CNY)</t>
        </is>
      </c>
      <c r="D17" s="12" t="inlineStr">
        <is>
          <t>Spend share</t>
        </is>
      </c>
      <c r="E17" s="12" t="inlineStr">
        <is>
          <t>CPM (CNY)</t>
        </is>
      </c>
      <c r="F17" s="12" t="inlineStr">
        <is>
          <t>CTR</t>
        </is>
      </c>
      <c r="G17" s="12" t="inlineStr">
        <is>
          <t>Win rate</t>
        </is>
      </c>
    </row>
    <row r="18">
      <c r="A18" t="n">
        <v>2821</v>
      </c>
      <c r="B18">
        <f>_xlfn.XLOOKUP($A18,Advertisers!$A:$A,Advertisers!$B:$B,"not found")</f>
        <v/>
      </c>
      <c r="C18" s="13">
        <f>_xlfn.XLOOKUP($A18,Advertisers!$A:$A,Advertisers!$G:$G,"not found")</f>
        <v/>
      </c>
      <c r="D18" s="14">
        <f>C18/SUM($C$18:$C$21)</f>
        <v/>
      </c>
      <c r="E18" s="15">
        <f>_xlfn.XLOOKUP($A18,Advertisers!$A:$A,Advertisers!$I:$I,"not found")</f>
        <v/>
      </c>
      <c r="F18" s="16">
        <f>_xlfn.XLOOKUP($A18,Advertisers!$A:$A,Advertisers!$K:$K,"not found")</f>
        <v/>
      </c>
      <c r="G18" s="14">
        <f>_xlfn.XLOOKUP($A18,Advertisers!$A:$A,Advertisers!$E:$E,"not found")</f>
        <v/>
      </c>
    </row>
    <row r="19">
      <c r="A19" t="n">
        <v>2259</v>
      </c>
      <c r="B19">
        <f>_xlfn.XLOOKUP($A19,Advertisers!$A:$A,Advertisers!$B:$B,"not found")</f>
        <v/>
      </c>
      <c r="C19" s="13">
        <f>_xlfn.XLOOKUP($A19,Advertisers!$A:$A,Advertisers!$G:$G,"not found")</f>
        <v/>
      </c>
      <c r="D19" s="14">
        <f>C19/SUM($C$18:$C$21)</f>
        <v/>
      </c>
      <c r="E19" s="15">
        <f>_xlfn.XLOOKUP($A19,Advertisers!$A:$A,Advertisers!$I:$I,"not found")</f>
        <v/>
      </c>
      <c r="F19" s="16">
        <f>_xlfn.XLOOKUP($A19,Advertisers!$A:$A,Advertisers!$K:$K,"not found")</f>
        <v/>
      </c>
      <c r="G19" s="14">
        <f>_xlfn.XLOOKUP($A19,Advertisers!$A:$A,Advertisers!$E:$E,"not found")</f>
        <v/>
      </c>
    </row>
    <row r="20">
      <c r="A20" t="n">
        <v>2261</v>
      </c>
      <c r="B20">
        <f>_xlfn.XLOOKUP($A20,Advertisers!$A:$A,Advertisers!$B:$B,"not found")</f>
        <v/>
      </c>
      <c r="C20" s="13">
        <f>_xlfn.XLOOKUP($A20,Advertisers!$A:$A,Advertisers!$G:$G,"not found")</f>
        <v/>
      </c>
      <c r="D20" s="14">
        <f>C20/SUM($C$18:$C$21)</f>
        <v/>
      </c>
      <c r="E20" s="15">
        <f>_xlfn.XLOOKUP($A20,Advertisers!$A:$A,Advertisers!$I:$I,"not found")</f>
        <v/>
      </c>
      <c r="F20" s="16">
        <f>_xlfn.XLOOKUP($A20,Advertisers!$A:$A,Advertisers!$K:$K,"not found")</f>
        <v/>
      </c>
      <c r="G20" s="14">
        <f>_xlfn.XLOOKUP($A20,Advertisers!$A:$A,Advertisers!$E:$E,"not found")</f>
        <v/>
      </c>
    </row>
    <row r="21">
      <c r="A21" t="n">
        <v>2997</v>
      </c>
      <c r="B21">
        <f>_xlfn.XLOOKUP($A21,Advertisers!$A:$A,Advertisers!$B:$B,"not found")</f>
        <v/>
      </c>
      <c r="C21" s="13">
        <f>_xlfn.XLOOKUP($A21,Advertisers!$A:$A,Advertisers!$G:$G,"not found")</f>
        <v/>
      </c>
      <c r="D21" s="14">
        <f>C21/SUM($C$18:$C$21)</f>
        <v/>
      </c>
      <c r="E21" s="15">
        <f>_xlfn.XLOOKUP($A21,Advertisers!$A:$A,Advertisers!$I:$I,"not found")</f>
        <v/>
      </c>
      <c r="F21" s="16">
        <f>_xlfn.XLOOKUP($A21,Advertisers!$A:$A,Advertisers!$K:$K,"not found")</f>
        <v/>
      </c>
      <c r="G21" s="14">
        <f>_xlfn.XLOOKUP($A21,Advertisers!$A:$A,Advertisers!$E:$E,"not found")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3" customWidth="1" min="5" max="5"/>
    <col width="9" customWidth="1" min="6" max="6"/>
    <col width="10" customWidth="1" min="7" max="7"/>
    <col width="16" customWidth="1" min="8" max="8"/>
    <col width="16" customWidth="1" min="9" max="9"/>
    <col width="58" customWidth="1" min="10" max="10"/>
  </cols>
  <sheetData>
    <row r="1">
      <c r="A1" s="1" t="inlineStr">
        <is>
          <t>Advertiser segments: pivot-style summary of 675 Criteo campaigns</t>
        </is>
      </c>
    </row>
    <row r="2">
      <c r="A2" s="4" t="inlineStr">
        <is>
          <t>Split at median spend and median CPA. Built with COUNTIFS/SUMIFS over the Campaigns sheet.</t>
        </is>
      </c>
    </row>
    <row r="4">
      <c r="A4" s="12" t="inlineStr">
        <is>
          <t>Segment</t>
        </is>
      </c>
      <c r="B4" s="12" t="inlineStr">
        <is>
          <t>Campaigns</t>
        </is>
      </c>
      <c r="C4" s="12" t="inlineStr">
        <is>
          <t>Spend</t>
        </is>
      </c>
      <c r="D4" s="12" t="inlineStr">
        <is>
          <t>Spend share</t>
        </is>
      </c>
      <c r="E4" s="12" t="inlineStr">
        <is>
          <t>Conversions</t>
        </is>
      </c>
      <c r="F4" s="12" t="inlineStr">
        <is>
          <t>CTR</t>
        </is>
      </c>
      <c r="G4" s="12" t="inlineStr">
        <is>
          <t>CPA</t>
        </is>
      </c>
      <c r="H4" s="12" t="inlineStr">
        <is>
          <t>Spend retention (wk4/wk1)</t>
        </is>
      </c>
      <c r="I4" s="12" t="inlineStr">
        <is>
          <t>Campaigns whose spend halved</t>
        </is>
      </c>
      <c r="J4" s="12" t="inlineStr">
        <is>
          <t>Action</t>
        </is>
      </c>
    </row>
    <row r="5">
      <c r="A5" s="2" t="inlineStr">
        <is>
          <t>PROTECT</t>
        </is>
      </c>
      <c r="B5">
        <f>COUNTIFS(Campaigns!$O$2:$O$676,A5)</f>
        <v/>
      </c>
      <c r="C5" s="13">
        <f>SUMIFS(Campaigns!$F$2:$F$676,Campaigns!$O$2:$O$676,A5)</f>
        <v/>
      </c>
      <c r="D5" s="14">
        <f>C5/$C$9</f>
        <v/>
      </c>
      <c r="E5" s="17">
        <f>SUMIFS(Campaigns!$E$2:$E$676,Campaigns!$O$2:$O$676,A5)</f>
        <v/>
      </c>
      <c r="F5" s="14">
        <f>SUMIFS(Campaigns!$D$2:$D$676,Campaigns!$O$2:$O$676,A5)/SUMIFS(Campaigns!$C$2:$C$676,Campaigns!$O$2:$O$676,A5)</f>
        <v/>
      </c>
      <c r="G5" s="18">
        <f>C5/E5</f>
        <v/>
      </c>
      <c r="H5" s="19">
        <f>SUMIFS(Campaigns!$N$2:$N$676,Campaigns!$O$2:$O$676,A5)/SUMIFS(Campaigns!$M$2:$M$676,Campaigns!$O$2:$O$676,A5)</f>
        <v/>
      </c>
      <c r="I5">
        <f>COUNTIFS(Campaigns!$O$2:$O$676,A5,Campaigns!$L$2:$L$676,"&lt;0.5")</f>
        <v/>
      </c>
      <c r="J5" s="4" t="inlineStr">
        <is>
          <t>big and efficient: keep, upsell</t>
        </is>
      </c>
    </row>
    <row r="6">
      <c r="A6" s="2" t="inlineStr">
        <is>
          <t>FIX</t>
        </is>
      </c>
      <c r="B6">
        <f>COUNTIFS(Campaigns!$O$2:$O$676,A6)</f>
        <v/>
      </c>
      <c r="C6" s="13">
        <f>SUMIFS(Campaigns!$F$2:$F$676,Campaigns!$O$2:$O$676,A6)</f>
        <v/>
      </c>
      <c r="D6" s="14">
        <f>C6/$C$9</f>
        <v/>
      </c>
      <c r="E6" s="17">
        <f>SUMIFS(Campaigns!$E$2:$E$676,Campaigns!$O$2:$O$676,A6)</f>
        <v/>
      </c>
      <c r="F6" s="14">
        <f>SUMIFS(Campaigns!$D$2:$D$676,Campaigns!$O$2:$O$676,A6)/SUMIFS(Campaigns!$C$2:$C$676,Campaigns!$O$2:$O$676,A6)</f>
        <v/>
      </c>
      <c r="G6" s="18">
        <f>C6/E6</f>
        <v/>
      </c>
      <c r="H6" s="19">
        <f>SUMIFS(Campaigns!$N$2:$N$676,Campaigns!$O$2:$O$676,A6)/SUMIFS(Campaigns!$M$2:$M$676,Campaigns!$O$2:$O$676,A6)</f>
        <v/>
      </c>
      <c r="I6">
        <f>COUNTIFS(Campaigns!$O$2:$O$676,A6,Campaigns!$L$2:$L$676,"&lt;0.5")</f>
        <v/>
      </c>
      <c r="J6" s="4" t="inlineStr">
        <is>
          <t>big but expensive conversions: optimise before they cut spend</t>
        </is>
      </c>
    </row>
    <row r="7">
      <c r="A7" s="2" t="inlineStr">
        <is>
          <t>GROW</t>
        </is>
      </c>
      <c r="B7">
        <f>COUNTIFS(Campaigns!$O$2:$O$676,A7)</f>
        <v/>
      </c>
      <c r="C7" s="13">
        <f>SUMIFS(Campaigns!$F$2:$F$676,Campaigns!$O$2:$O$676,A7)</f>
        <v/>
      </c>
      <c r="D7" s="14">
        <f>C7/$C$9</f>
        <v/>
      </c>
      <c r="E7" s="17">
        <f>SUMIFS(Campaigns!$E$2:$E$676,Campaigns!$O$2:$O$676,A7)</f>
        <v/>
      </c>
      <c r="F7" s="14">
        <f>SUMIFS(Campaigns!$D$2:$D$676,Campaigns!$O$2:$O$676,A7)/SUMIFS(Campaigns!$C$2:$C$676,Campaigns!$O$2:$O$676,A7)</f>
        <v/>
      </c>
      <c r="G7" s="18">
        <f>C7/E7</f>
        <v/>
      </c>
      <c r="H7" s="19">
        <f>SUMIFS(Campaigns!$N$2:$N$676,Campaigns!$O$2:$O$676,A7)/SUMIFS(Campaigns!$M$2:$M$676,Campaigns!$O$2:$O$676,A7)</f>
        <v/>
      </c>
      <c r="I7">
        <f>COUNTIFS(Campaigns!$O$2:$O$676,A7,Campaigns!$L$2:$L$676,"&lt;0.5")</f>
        <v/>
      </c>
      <c r="J7" s="4" t="inlineStr">
        <is>
          <t>efficient but small: pitch more budget</t>
        </is>
      </c>
    </row>
    <row r="8">
      <c r="A8" s="2" t="inlineStr">
        <is>
          <t>WATCH</t>
        </is>
      </c>
      <c r="B8">
        <f>COUNTIFS(Campaigns!$O$2:$O$676,A8)</f>
        <v/>
      </c>
      <c r="C8" s="13">
        <f>SUMIFS(Campaigns!$F$2:$F$676,Campaigns!$O$2:$O$676,A8)</f>
        <v/>
      </c>
      <c r="D8" s="14">
        <f>C8/$C$9</f>
        <v/>
      </c>
      <c r="E8" s="17">
        <f>SUMIFS(Campaigns!$E$2:$E$676,Campaigns!$O$2:$O$676,A8)</f>
        <v/>
      </c>
      <c r="F8" s="14">
        <f>SUMIFS(Campaigns!$D$2:$D$676,Campaigns!$O$2:$O$676,A8)/SUMIFS(Campaigns!$C$2:$C$676,Campaigns!$O$2:$O$676,A8)</f>
        <v/>
      </c>
      <c r="G8" s="18">
        <f>C8/E8</f>
        <v/>
      </c>
      <c r="H8" s="19">
        <f>SUMIFS(Campaigns!$N$2:$N$676,Campaigns!$O$2:$O$676,A8)/SUMIFS(Campaigns!$M$2:$M$676,Campaigns!$O$2:$O$676,A8)</f>
        <v/>
      </c>
      <c r="I8">
        <f>COUNTIFS(Campaigns!$O$2:$O$676,A8,Campaigns!$L$2:$L$676,"&lt;0.5")</f>
        <v/>
      </c>
      <c r="J8" s="4" t="inlineStr">
        <is>
          <t>small and expensive: low priority</t>
        </is>
      </c>
    </row>
    <row r="9">
      <c r="A9" s="2" t="inlineStr">
        <is>
          <t>Total</t>
        </is>
      </c>
      <c r="B9" s="20">
        <f>SUM(B5:B8)</f>
        <v/>
      </c>
      <c r="C9" s="21">
        <f>SUM(C5:C8)</f>
        <v/>
      </c>
      <c r="D9" s="22">
        <f>SUM(D5:D8)</f>
        <v/>
      </c>
      <c r="E9" s="23">
        <f>SUM(E5:E8)</f>
        <v/>
      </c>
      <c r="F9" s="22">
        <f>SUM(Campaigns!$D$2:$D$676)/SUM(Campaigns!$C$2:$C$676)</f>
        <v/>
      </c>
      <c r="G9" s="24">
        <f>C9/E9</f>
        <v/>
      </c>
      <c r="H9" s="25">
        <f>SUM(Campaigns!$N$2:$N$676)/SUM(Campaigns!$M$2:$M$676)</f>
        <v/>
      </c>
      <c r="I9" s="20">
        <f>SUM(I5:I8)</f>
        <v/>
      </c>
    </row>
    <row r="11">
      <c r="A11" t="inlineStr">
        <is>
          <t>FIX vs PROTECT: cost per conversion is</t>
        </is>
      </c>
      <c r="B11" s="26">
        <f>G6/G5</f>
        <v/>
      </c>
      <c r="C11" t="inlineStr">
        <is>
          <t>higher for FIX, while FIX holds this share of spend:</t>
        </is>
      </c>
      <c r="D11" s="14">
        <f>D6</f>
        <v/>
      </c>
    </row>
    <row r="12">
      <c r="A12" t="inlineStr">
        <is>
          <t>Top 20% of campaigns hold this share of spend:</t>
        </is>
      </c>
      <c r="B12" s="14">
        <f>SUMIFS(Campaigns!$F$2:$F$676,Campaigns!$B$2:$B$676,"&lt;="&amp;ROUND(0.2*B9,0))/C9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4" customWidth="1" min="1" max="1"/>
    <col width="22" customWidth="1" min="2" max="2"/>
  </cols>
  <sheetData>
    <row r="1">
      <c r="A1" s="1" t="inlineStr">
        <is>
          <t>Look up any campaign</t>
        </is>
      </c>
    </row>
    <row r="3">
      <c r="A3" t="inlineStr">
        <is>
          <t>Campaign id (type one)</t>
        </is>
      </c>
      <c r="B3" s="27" t="n">
        <v>15398570</v>
      </c>
    </row>
    <row r="5">
      <c r="A5" t="inlineStr">
        <is>
          <t>Spend rank (1 = biggest)</t>
        </is>
      </c>
      <c r="B5" s="28">
        <f>_xlfn.XLOOKUP($B$3,Campaigns!$A$2:$A$676,Campaigns!$B$2:$B$676,"no such campaign")</f>
        <v/>
      </c>
    </row>
    <row r="6">
      <c r="A6" t="inlineStr">
        <is>
          <t>Spend</t>
        </is>
      </c>
      <c r="B6" s="29">
        <f>_xlfn.XLOOKUP($B$3,Campaigns!$A$2:$A$676,Campaigns!$F$2:$F$676,"no such campaign")</f>
        <v/>
      </c>
    </row>
    <row r="7">
      <c r="A7" t="inlineStr">
        <is>
          <t>Share of all spend</t>
        </is>
      </c>
      <c r="B7" s="30">
        <f>_xlfn.XLOOKUP($B$3,Campaigns!$A$2:$A$676,Campaigns!$G$2:$G$676,"no such campaign")</f>
        <v/>
      </c>
    </row>
    <row r="8">
      <c r="A8" t="inlineStr">
        <is>
          <t>Conversions</t>
        </is>
      </c>
      <c r="B8" s="17">
        <f>_xlfn.XLOOKUP($B$3,Campaigns!$A$2:$A$676,Campaigns!$E$2:$E$676,"no such campaign")</f>
        <v/>
      </c>
    </row>
    <row r="9">
      <c r="A9" t="inlineStr">
        <is>
          <t>CTR</t>
        </is>
      </c>
      <c r="B9" s="14">
        <f>_xlfn.XLOOKUP($B$3,Campaigns!$A$2:$A$676,Campaigns!$I$2:$I$676,"no such campaign")</f>
        <v/>
      </c>
    </row>
    <row r="10">
      <c r="A10" t="inlineStr">
        <is>
          <t>CVR (conversions / clicks)</t>
        </is>
      </c>
      <c r="B10" s="14">
        <f>_xlfn.XLOOKUP($B$3,Campaigns!$A$2:$A$676,Campaigns!$J$2:$J$676,"no such campaign")</f>
        <v/>
      </c>
    </row>
    <row r="11">
      <c r="A11" t="inlineStr">
        <is>
          <t>CPA (cost per conversion)</t>
        </is>
      </c>
      <c r="B11" s="31">
        <f>_xlfn.XLOOKUP($B$3,Campaigns!$A$2:$A$676,Campaigns!$K$2:$K$676,"no such campaign")</f>
        <v/>
      </c>
    </row>
    <row r="12">
      <c r="A12" t="inlineStr">
        <is>
          <t>Spend retention wk4 / wk1</t>
        </is>
      </c>
      <c r="B12" s="19">
        <f>_xlfn.XLOOKUP($B$3,Campaigns!$A$2:$A$676,Campaigns!$L$2:$L$676,"no such campaign")</f>
        <v/>
      </c>
    </row>
    <row r="13">
      <c r="A13" t="inlineStr">
        <is>
          <t>Segment</t>
        </is>
      </c>
      <c r="B13" s="32">
        <f>_xlfn.XLOOKUP($B$3,Campaigns!$A$2:$A$676,Campaigns!$O$2:$O$676,"no such campaign")</f>
        <v/>
      </c>
    </row>
    <row r="15">
      <c r="A15" t="inlineStr">
        <is>
          <t>Median CPA of all campaigns</t>
        </is>
      </c>
      <c r="B15" s="31">
        <f>MEDIAN(Campaigns!$K$2:$K$676)</f>
        <v/>
      </c>
    </row>
    <row r="16">
      <c r="A16" t="inlineStr">
        <is>
          <t>This campaign's CPA vs median</t>
        </is>
      </c>
      <c r="B16" s="33">
        <f>IFERROR(B11/B15,"-")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Minimum floor price: what would it earn?</t>
        </is>
      </c>
    </row>
    <row r="2">
      <c r="A2" s="4" t="inlineStr">
        <is>
          <t>New floor = max(current floor, X). Impressions that paid less than X are at risk: a share r still sells at X, the rest is lost (ADR 0007). r is unknown; an A/B test measures it.</t>
        </is>
      </c>
    </row>
    <row r="4">
      <c r="A4" t="inlineStr">
        <is>
          <t>Exchange</t>
        </is>
      </c>
      <c r="B4" s="27" t="inlineStr">
        <is>
          <t>All</t>
        </is>
      </c>
    </row>
    <row r="5">
      <c r="A5" t="inlineStr">
        <is>
          <t>Minimum floor X (fen per 1,000 imps)</t>
        </is>
      </c>
      <c r="B5" s="27" t="n">
        <v>30</v>
      </c>
    </row>
    <row r="6">
      <c r="A6" t="inlineStr">
        <is>
          <t>Retention r (share of at-risk imps that still sell)</t>
        </is>
      </c>
      <c r="B6" s="34" t="n">
        <v>0.5</v>
      </c>
    </row>
    <row r="9">
      <c r="A9" s="5" t="inlineStr">
        <is>
          <t>Revenue today (CNY)</t>
        </is>
      </c>
      <c r="B9" s="8">
        <f>SUMIFS(FloorData!$G$2:$G$97,FloorData!$A$2:$A$97,$B$4,FloorData!$B$2:$B$97,$B$5)</f>
        <v/>
      </c>
    </row>
    <row r="10">
      <c r="A10" s="5" t="inlineStr">
        <is>
          <t>Impressions at risk (paid &lt; X)</t>
        </is>
      </c>
      <c r="B10" s="6">
        <f>SUMIFS(FloorData!$D$2:$D$97,FloorData!$A$2:$A$97,$B$4,FloorData!$B$2:$B$97,$B$5)</f>
        <v/>
      </c>
    </row>
    <row r="11">
      <c r="A11" s="5" t="inlineStr">
        <is>
          <t>Share of impressions at risk</t>
        </is>
      </c>
      <c r="B11" s="7">
        <f>B10/SUMIFS(FloorData!$C$2:$C$97,FloorData!$A$2:$A$97,$B$4,FloorData!$B$2:$B$97,$B$5)</f>
        <v/>
      </c>
    </row>
    <row r="12">
      <c r="A12" s="5" t="inlineStr">
        <is>
          <t>Revenue if every at-risk imp is lost (r = 0)</t>
        </is>
      </c>
      <c r="B12" s="8">
        <f>SUMIFS(FloorData!$H$2:$H$97,FloorData!$A$2:$A$97,$B$4,FloorData!$B$2:$B$97,$B$5)</f>
        <v/>
      </c>
      <c r="C12" s="4" t="inlineStr">
        <is>
          <t>lower bound</t>
        </is>
      </c>
    </row>
    <row r="13">
      <c r="A13" s="5" t="inlineStr">
        <is>
          <t>Revenue at your r</t>
        </is>
      </c>
      <c r="B13" s="8">
        <f>B12+$B$6*$B$5*SUMIFS(FloorData!$E$2:$E$97,FloorData!$A$2:$A$97,$B$4,FloorData!$B$2:$B$97,$B$5)/100000</f>
        <v/>
      </c>
      <c r="C13" s="4" t="inlineStr">
        <is>
          <t>safe revenue + r × X × sellable at-risk imps</t>
        </is>
      </c>
    </row>
    <row r="14">
      <c r="A14" s="5" t="inlineStr">
        <is>
          <t>Change vs today</t>
        </is>
      </c>
      <c r="B14" s="35">
        <f>B13/B9-1</f>
        <v/>
      </c>
    </row>
    <row r="15">
      <c r="A15" s="5" t="inlineStr">
        <is>
          <t>Break-even r</t>
        </is>
      </c>
      <c r="B15" s="7">
        <f>IFERROR((B9-B12)/($B$5*SUMIFS(FloorData!$E$2:$E$97,FloorData!$A$2:$A$97,$B$4,FloorData!$B$2:$B$97,$B$5)/100000),"n/a")</f>
        <v/>
      </c>
      <c r="C15" s="4" t="inlineStr">
        <is>
          <t>below this r, the floor loses money</t>
        </is>
      </c>
    </row>
    <row r="16">
      <c r="A16" s="5" t="inlineStr">
        <is>
          <t>Verdict at your r</t>
        </is>
      </c>
      <c r="B16" s="11">
        <f>IF(B5=0,"no change",IF(B13&gt;=B9,"raises revenue","loses revenue"))</f>
        <v/>
      </c>
    </row>
    <row r="19">
      <c r="A19" s="2" t="inlineStr">
        <is>
          <t>Sensitivity: revenue change vs today, by minimum floor (rows) and retention r (columns)</t>
        </is>
      </c>
    </row>
    <row r="20">
      <c r="A20" s="12" t="inlineStr">
        <is>
          <t>X \ r</t>
        </is>
      </c>
      <c r="B20" s="36" t="n">
        <v>0</v>
      </c>
      <c r="C20" s="36" t="n">
        <v>0.25</v>
      </c>
      <c r="D20" s="36" t="n">
        <v>0.5</v>
      </c>
      <c r="E20" s="36" t="n">
        <v>0.75</v>
      </c>
      <c r="F20" s="36" t="n">
        <v>1</v>
      </c>
    </row>
    <row r="21">
      <c r="A21" t="n">
        <v>0</v>
      </c>
      <c r="B21" s="37">
        <f>(SUMIFS(FloorData!$H$2:$H$97,FloorData!$A$2:$A$97,$B$4,FloorData!$B$2:$B$97,$A21)+B$20*$A21*SUMIFS(FloorData!$E$2:$E$97,FloorData!$A$2:$A$97,$B$4,FloorData!$B$2:$B$97,$A21)/100000)/SUMIFS(FloorData!$G$2:$G$97,FloorData!$A$2:$A$97,$B$4,FloorData!$B$2:$B$97,$A21)-1</f>
        <v/>
      </c>
      <c r="C21" s="37">
        <f>(SUMIFS(FloorData!$H$2:$H$97,FloorData!$A$2:$A$97,$B$4,FloorData!$B$2:$B$97,$A21)+C$20*$A21*SUMIFS(FloorData!$E$2:$E$97,FloorData!$A$2:$A$97,$B$4,FloorData!$B$2:$B$97,$A21)/100000)/SUMIFS(FloorData!$G$2:$G$97,FloorData!$A$2:$A$97,$B$4,FloorData!$B$2:$B$97,$A21)-1</f>
        <v/>
      </c>
      <c r="D21" s="37">
        <f>(SUMIFS(FloorData!$H$2:$H$97,FloorData!$A$2:$A$97,$B$4,FloorData!$B$2:$B$97,$A21)+D$20*$A21*SUMIFS(FloorData!$E$2:$E$97,FloorData!$A$2:$A$97,$B$4,FloorData!$B$2:$B$97,$A21)/100000)/SUMIFS(FloorData!$G$2:$G$97,FloorData!$A$2:$A$97,$B$4,FloorData!$B$2:$B$97,$A21)-1</f>
        <v/>
      </c>
      <c r="E21" s="37">
        <f>(SUMIFS(FloorData!$H$2:$H$97,FloorData!$A$2:$A$97,$B$4,FloorData!$B$2:$B$97,$A21)+E$20*$A21*SUMIFS(FloorData!$E$2:$E$97,FloorData!$A$2:$A$97,$B$4,FloorData!$B$2:$B$97,$A21)/100000)/SUMIFS(FloorData!$G$2:$G$97,FloorData!$A$2:$A$97,$B$4,FloorData!$B$2:$B$97,$A21)-1</f>
        <v/>
      </c>
      <c r="F21" s="37">
        <f>(SUMIFS(FloorData!$H$2:$H$97,FloorData!$A$2:$A$97,$B$4,FloorData!$B$2:$B$97,$A21)+F$20*$A21*SUMIFS(FloorData!$E$2:$E$97,FloorData!$A$2:$A$97,$B$4,FloorData!$B$2:$B$97,$A21)/100000)/SUMIFS(FloorData!$G$2:$G$97,FloorData!$A$2:$A$97,$B$4,FloorData!$B$2:$B$97,$A21)-1</f>
        <v/>
      </c>
    </row>
    <row r="22">
      <c r="A22" t="n">
        <v>10</v>
      </c>
      <c r="B22" s="37">
        <f>(SUMIFS(FloorData!$H$2:$H$97,FloorData!$A$2:$A$97,$B$4,FloorData!$B$2:$B$97,$A22)+B$20*$A22*SUMIFS(FloorData!$E$2:$E$97,FloorData!$A$2:$A$97,$B$4,FloorData!$B$2:$B$97,$A22)/100000)/SUMIFS(FloorData!$G$2:$G$97,FloorData!$A$2:$A$97,$B$4,FloorData!$B$2:$B$97,$A22)-1</f>
        <v/>
      </c>
      <c r="C22" s="37">
        <f>(SUMIFS(FloorData!$H$2:$H$97,FloorData!$A$2:$A$97,$B$4,FloorData!$B$2:$B$97,$A22)+C$20*$A22*SUMIFS(FloorData!$E$2:$E$97,FloorData!$A$2:$A$97,$B$4,FloorData!$B$2:$B$97,$A22)/100000)/SUMIFS(FloorData!$G$2:$G$97,FloorData!$A$2:$A$97,$B$4,FloorData!$B$2:$B$97,$A22)-1</f>
        <v/>
      </c>
      <c r="D22" s="37">
        <f>(SUMIFS(FloorData!$H$2:$H$97,FloorData!$A$2:$A$97,$B$4,FloorData!$B$2:$B$97,$A22)+D$20*$A22*SUMIFS(FloorData!$E$2:$E$97,FloorData!$A$2:$A$97,$B$4,FloorData!$B$2:$B$97,$A22)/100000)/SUMIFS(FloorData!$G$2:$G$97,FloorData!$A$2:$A$97,$B$4,FloorData!$B$2:$B$97,$A22)-1</f>
        <v/>
      </c>
      <c r="E22" s="37">
        <f>(SUMIFS(FloorData!$H$2:$H$97,FloorData!$A$2:$A$97,$B$4,FloorData!$B$2:$B$97,$A22)+E$20*$A22*SUMIFS(FloorData!$E$2:$E$97,FloorData!$A$2:$A$97,$B$4,FloorData!$B$2:$B$97,$A22)/100000)/SUMIFS(FloorData!$G$2:$G$97,FloorData!$A$2:$A$97,$B$4,FloorData!$B$2:$B$97,$A22)-1</f>
        <v/>
      </c>
      <c r="F22" s="37">
        <f>(SUMIFS(FloorData!$H$2:$H$97,FloorData!$A$2:$A$97,$B$4,FloorData!$B$2:$B$97,$A22)+F$20*$A22*SUMIFS(FloorData!$E$2:$E$97,FloorData!$A$2:$A$97,$B$4,FloorData!$B$2:$B$97,$A22)/100000)/SUMIFS(FloorData!$G$2:$G$97,FloorData!$A$2:$A$97,$B$4,FloorData!$B$2:$B$97,$A22)-1</f>
        <v/>
      </c>
    </row>
    <row r="23">
      <c r="A23" t="n">
        <v>20</v>
      </c>
      <c r="B23" s="37">
        <f>(SUMIFS(FloorData!$H$2:$H$97,FloorData!$A$2:$A$97,$B$4,FloorData!$B$2:$B$97,$A23)+B$20*$A23*SUMIFS(FloorData!$E$2:$E$97,FloorData!$A$2:$A$97,$B$4,FloorData!$B$2:$B$97,$A23)/100000)/SUMIFS(FloorData!$G$2:$G$97,FloorData!$A$2:$A$97,$B$4,FloorData!$B$2:$B$97,$A23)-1</f>
        <v/>
      </c>
      <c r="C23" s="37">
        <f>(SUMIFS(FloorData!$H$2:$H$97,FloorData!$A$2:$A$97,$B$4,FloorData!$B$2:$B$97,$A23)+C$20*$A23*SUMIFS(FloorData!$E$2:$E$97,FloorData!$A$2:$A$97,$B$4,FloorData!$B$2:$B$97,$A23)/100000)/SUMIFS(FloorData!$G$2:$G$97,FloorData!$A$2:$A$97,$B$4,FloorData!$B$2:$B$97,$A23)-1</f>
        <v/>
      </c>
      <c r="D23" s="37">
        <f>(SUMIFS(FloorData!$H$2:$H$97,FloorData!$A$2:$A$97,$B$4,FloorData!$B$2:$B$97,$A23)+D$20*$A23*SUMIFS(FloorData!$E$2:$E$97,FloorData!$A$2:$A$97,$B$4,FloorData!$B$2:$B$97,$A23)/100000)/SUMIFS(FloorData!$G$2:$G$97,FloorData!$A$2:$A$97,$B$4,FloorData!$B$2:$B$97,$A23)-1</f>
        <v/>
      </c>
      <c r="E23" s="37">
        <f>(SUMIFS(FloorData!$H$2:$H$97,FloorData!$A$2:$A$97,$B$4,FloorData!$B$2:$B$97,$A23)+E$20*$A23*SUMIFS(FloorData!$E$2:$E$97,FloorData!$A$2:$A$97,$B$4,FloorData!$B$2:$B$97,$A23)/100000)/SUMIFS(FloorData!$G$2:$G$97,FloorData!$A$2:$A$97,$B$4,FloorData!$B$2:$B$97,$A23)-1</f>
        <v/>
      </c>
      <c r="F23" s="37">
        <f>(SUMIFS(FloorData!$H$2:$H$97,FloorData!$A$2:$A$97,$B$4,FloorData!$B$2:$B$97,$A23)+F$20*$A23*SUMIFS(FloorData!$E$2:$E$97,FloorData!$A$2:$A$97,$B$4,FloorData!$B$2:$B$97,$A23)/100000)/SUMIFS(FloorData!$G$2:$G$97,FloorData!$A$2:$A$97,$B$4,FloorData!$B$2:$B$97,$A23)-1</f>
        <v/>
      </c>
    </row>
    <row r="24">
      <c r="A24" t="n">
        <v>30</v>
      </c>
      <c r="B24" s="37">
        <f>(SUMIFS(FloorData!$H$2:$H$97,FloorData!$A$2:$A$97,$B$4,FloorData!$B$2:$B$97,$A24)+B$20*$A24*SUMIFS(FloorData!$E$2:$E$97,FloorData!$A$2:$A$97,$B$4,FloorData!$B$2:$B$97,$A24)/100000)/SUMIFS(FloorData!$G$2:$G$97,FloorData!$A$2:$A$97,$B$4,FloorData!$B$2:$B$97,$A24)-1</f>
        <v/>
      </c>
      <c r="C24" s="37">
        <f>(SUMIFS(FloorData!$H$2:$H$97,FloorData!$A$2:$A$97,$B$4,FloorData!$B$2:$B$97,$A24)+C$20*$A24*SUMIFS(FloorData!$E$2:$E$97,FloorData!$A$2:$A$97,$B$4,FloorData!$B$2:$B$97,$A24)/100000)/SUMIFS(FloorData!$G$2:$G$97,FloorData!$A$2:$A$97,$B$4,FloorData!$B$2:$B$97,$A24)-1</f>
        <v/>
      </c>
      <c r="D24" s="37">
        <f>(SUMIFS(FloorData!$H$2:$H$97,FloorData!$A$2:$A$97,$B$4,FloorData!$B$2:$B$97,$A24)+D$20*$A24*SUMIFS(FloorData!$E$2:$E$97,FloorData!$A$2:$A$97,$B$4,FloorData!$B$2:$B$97,$A24)/100000)/SUMIFS(FloorData!$G$2:$G$97,FloorData!$A$2:$A$97,$B$4,FloorData!$B$2:$B$97,$A24)-1</f>
        <v/>
      </c>
      <c r="E24" s="37">
        <f>(SUMIFS(FloorData!$H$2:$H$97,FloorData!$A$2:$A$97,$B$4,FloorData!$B$2:$B$97,$A24)+E$20*$A24*SUMIFS(FloorData!$E$2:$E$97,FloorData!$A$2:$A$97,$B$4,FloorData!$B$2:$B$97,$A24)/100000)/SUMIFS(FloorData!$G$2:$G$97,FloorData!$A$2:$A$97,$B$4,FloorData!$B$2:$B$97,$A24)-1</f>
        <v/>
      </c>
      <c r="F24" s="37">
        <f>(SUMIFS(FloorData!$H$2:$H$97,FloorData!$A$2:$A$97,$B$4,FloorData!$B$2:$B$97,$A24)+F$20*$A24*SUMIFS(FloorData!$E$2:$E$97,FloorData!$A$2:$A$97,$B$4,FloorData!$B$2:$B$97,$A24)/100000)/SUMIFS(FloorData!$G$2:$G$97,FloorData!$A$2:$A$97,$B$4,FloorData!$B$2:$B$97,$A24)-1</f>
        <v/>
      </c>
    </row>
    <row r="25">
      <c r="A25" t="n">
        <v>40</v>
      </c>
      <c r="B25" s="37">
        <f>(SUMIFS(FloorData!$H$2:$H$97,FloorData!$A$2:$A$97,$B$4,FloorData!$B$2:$B$97,$A25)+B$20*$A25*SUMIFS(FloorData!$E$2:$E$97,FloorData!$A$2:$A$97,$B$4,FloorData!$B$2:$B$97,$A25)/100000)/SUMIFS(FloorData!$G$2:$G$97,FloorData!$A$2:$A$97,$B$4,FloorData!$B$2:$B$97,$A25)-1</f>
        <v/>
      </c>
      <c r="C25" s="37">
        <f>(SUMIFS(FloorData!$H$2:$H$97,FloorData!$A$2:$A$97,$B$4,FloorData!$B$2:$B$97,$A25)+C$20*$A25*SUMIFS(FloorData!$E$2:$E$97,FloorData!$A$2:$A$97,$B$4,FloorData!$B$2:$B$97,$A25)/100000)/SUMIFS(FloorData!$G$2:$G$97,FloorData!$A$2:$A$97,$B$4,FloorData!$B$2:$B$97,$A25)-1</f>
        <v/>
      </c>
      <c r="D25" s="37">
        <f>(SUMIFS(FloorData!$H$2:$H$97,FloorData!$A$2:$A$97,$B$4,FloorData!$B$2:$B$97,$A25)+D$20*$A25*SUMIFS(FloorData!$E$2:$E$97,FloorData!$A$2:$A$97,$B$4,FloorData!$B$2:$B$97,$A25)/100000)/SUMIFS(FloorData!$G$2:$G$97,FloorData!$A$2:$A$97,$B$4,FloorData!$B$2:$B$97,$A25)-1</f>
        <v/>
      </c>
      <c r="E25" s="37">
        <f>(SUMIFS(FloorData!$H$2:$H$97,FloorData!$A$2:$A$97,$B$4,FloorData!$B$2:$B$97,$A25)+E$20*$A25*SUMIFS(FloorData!$E$2:$E$97,FloorData!$A$2:$A$97,$B$4,FloorData!$B$2:$B$97,$A25)/100000)/SUMIFS(FloorData!$G$2:$G$97,FloorData!$A$2:$A$97,$B$4,FloorData!$B$2:$B$97,$A25)-1</f>
        <v/>
      </c>
      <c r="F25" s="37">
        <f>(SUMIFS(FloorData!$H$2:$H$97,FloorData!$A$2:$A$97,$B$4,FloorData!$B$2:$B$97,$A25)+F$20*$A25*SUMIFS(FloorData!$E$2:$E$97,FloorData!$A$2:$A$97,$B$4,FloorData!$B$2:$B$97,$A25)/100000)/SUMIFS(FloorData!$G$2:$G$97,FloorData!$A$2:$A$97,$B$4,FloorData!$B$2:$B$97,$A25)-1</f>
        <v/>
      </c>
    </row>
    <row r="26">
      <c r="A26" t="n">
        <v>50</v>
      </c>
      <c r="B26" s="37">
        <f>(SUMIFS(FloorData!$H$2:$H$97,FloorData!$A$2:$A$97,$B$4,FloorData!$B$2:$B$97,$A26)+B$20*$A26*SUMIFS(FloorData!$E$2:$E$97,FloorData!$A$2:$A$97,$B$4,FloorData!$B$2:$B$97,$A26)/100000)/SUMIFS(FloorData!$G$2:$G$97,FloorData!$A$2:$A$97,$B$4,FloorData!$B$2:$B$97,$A26)-1</f>
        <v/>
      </c>
      <c r="C26" s="37">
        <f>(SUMIFS(FloorData!$H$2:$H$97,FloorData!$A$2:$A$97,$B$4,FloorData!$B$2:$B$97,$A26)+C$20*$A26*SUMIFS(FloorData!$E$2:$E$97,FloorData!$A$2:$A$97,$B$4,FloorData!$B$2:$B$97,$A26)/100000)/SUMIFS(FloorData!$G$2:$G$97,FloorData!$A$2:$A$97,$B$4,FloorData!$B$2:$B$97,$A26)-1</f>
        <v/>
      </c>
      <c r="D26" s="37">
        <f>(SUMIFS(FloorData!$H$2:$H$97,FloorData!$A$2:$A$97,$B$4,FloorData!$B$2:$B$97,$A26)+D$20*$A26*SUMIFS(FloorData!$E$2:$E$97,FloorData!$A$2:$A$97,$B$4,FloorData!$B$2:$B$97,$A26)/100000)/SUMIFS(FloorData!$G$2:$G$97,FloorData!$A$2:$A$97,$B$4,FloorData!$B$2:$B$97,$A26)-1</f>
        <v/>
      </c>
      <c r="E26" s="37">
        <f>(SUMIFS(FloorData!$H$2:$H$97,FloorData!$A$2:$A$97,$B$4,FloorData!$B$2:$B$97,$A26)+E$20*$A26*SUMIFS(FloorData!$E$2:$E$97,FloorData!$A$2:$A$97,$B$4,FloorData!$B$2:$B$97,$A26)/100000)/SUMIFS(FloorData!$G$2:$G$97,FloorData!$A$2:$A$97,$B$4,FloorData!$B$2:$B$97,$A26)-1</f>
        <v/>
      </c>
      <c r="F26" s="37">
        <f>(SUMIFS(FloorData!$H$2:$H$97,FloorData!$A$2:$A$97,$B$4,FloorData!$B$2:$B$97,$A26)+F$20*$A26*SUMIFS(FloorData!$E$2:$E$97,FloorData!$A$2:$A$97,$B$4,FloorData!$B$2:$B$97,$A26)/100000)/SUMIFS(FloorData!$G$2:$G$97,FloorData!$A$2:$A$97,$B$4,FloorData!$B$2:$B$97,$A26)-1</f>
        <v/>
      </c>
    </row>
    <row r="27">
      <c r="A27" t="n">
        <v>60</v>
      </c>
      <c r="B27" s="37">
        <f>(SUMIFS(FloorData!$H$2:$H$97,FloorData!$A$2:$A$97,$B$4,FloorData!$B$2:$B$97,$A27)+B$20*$A27*SUMIFS(FloorData!$E$2:$E$97,FloorData!$A$2:$A$97,$B$4,FloorData!$B$2:$B$97,$A27)/100000)/SUMIFS(FloorData!$G$2:$G$97,FloorData!$A$2:$A$97,$B$4,FloorData!$B$2:$B$97,$A27)-1</f>
        <v/>
      </c>
      <c r="C27" s="37">
        <f>(SUMIFS(FloorData!$H$2:$H$97,FloorData!$A$2:$A$97,$B$4,FloorData!$B$2:$B$97,$A27)+C$20*$A27*SUMIFS(FloorData!$E$2:$E$97,FloorData!$A$2:$A$97,$B$4,FloorData!$B$2:$B$97,$A27)/100000)/SUMIFS(FloorData!$G$2:$G$97,FloorData!$A$2:$A$97,$B$4,FloorData!$B$2:$B$97,$A27)-1</f>
        <v/>
      </c>
      <c r="D27" s="37">
        <f>(SUMIFS(FloorData!$H$2:$H$97,FloorData!$A$2:$A$97,$B$4,FloorData!$B$2:$B$97,$A27)+D$20*$A27*SUMIFS(FloorData!$E$2:$E$97,FloorData!$A$2:$A$97,$B$4,FloorData!$B$2:$B$97,$A27)/100000)/SUMIFS(FloorData!$G$2:$G$97,FloorData!$A$2:$A$97,$B$4,FloorData!$B$2:$B$97,$A27)-1</f>
        <v/>
      </c>
      <c r="E27" s="37">
        <f>(SUMIFS(FloorData!$H$2:$H$97,FloorData!$A$2:$A$97,$B$4,FloorData!$B$2:$B$97,$A27)+E$20*$A27*SUMIFS(FloorData!$E$2:$E$97,FloorData!$A$2:$A$97,$B$4,FloorData!$B$2:$B$97,$A27)/100000)/SUMIFS(FloorData!$G$2:$G$97,FloorData!$A$2:$A$97,$B$4,FloorData!$B$2:$B$97,$A27)-1</f>
        <v/>
      </c>
      <c r="F27" s="37">
        <f>(SUMIFS(FloorData!$H$2:$H$97,FloorData!$A$2:$A$97,$B$4,FloorData!$B$2:$B$97,$A27)+F$20*$A27*SUMIFS(FloorData!$E$2:$E$97,FloorData!$A$2:$A$97,$B$4,FloorData!$B$2:$B$97,$A27)/100000)/SUMIFS(FloorData!$G$2:$G$97,FloorData!$A$2:$A$97,$B$4,FloorData!$B$2:$B$97,$A27)-1</f>
        <v/>
      </c>
    </row>
    <row r="28">
      <c r="A28" t="n">
        <v>70</v>
      </c>
      <c r="B28" s="37">
        <f>(SUMIFS(FloorData!$H$2:$H$97,FloorData!$A$2:$A$97,$B$4,FloorData!$B$2:$B$97,$A28)+B$20*$A28*SUMIFS(FloorData!$E$2:$E$97,FloorData!$A$2:$A$97,$B$4,FloorData!$B$2:$B$97,$A28)/100000)/SUMIFS(FloorData!$G$2:$G$97,FloorData!$A$2:$A$97,$B$4,FloorData!$B$2:$B$97,$A28)-1</f>
        <v/>
      </c>
      <c r="C28" s="37">
        <f>(SUMIFS(FloorData!$H$2:$H$97,FloorData!$A$2:$A$97,$B$4,FloorData!$B$2:$B$97,$A28)+C$20*$A28*SUMIFS(FloorData!$E$2:$E$97,FloorData!$A$2:$A$97,$B$4,FloorData!$B$2:$B$97,$A28)/100000)/SUMIFS(FloorData!$G$2:$G$97,FloorData!$A$2:$A$97,$B$4,FloorData!$B$2:$B$97,$A28)-1</f>
        <v/>
      </c>
      <c r="D28" s="37">
        <f>(SUMIFS(FloorData!$H$2:$H$97,FloorData!$A$2:$A$97,$B$4,FloorData!$B$2:$B$97,$A28)+D$20*$A28*SUMIFS(FloorData!$E$2:$E$97,FloorData!$A$2:$A$97,$B$4,FloorData!$B$2:$B$97,$A28)/100000)/SUMIFS(FloorData!$G$2:$G$97,FloorData!$A$2:$A$97,$B$4,FloorData!$B$2:$B$97,$A28)-1</f>
        <v/>
      </c>
      <c r="E28" s="37">
        <f>(SUMIFS(FloorData!$H$2:$H$97,FloorData!$A$2:$A$97,$B$4,FloorData!$B$2:$B$97,$A28)+E$20*$A28*SUMIFS(FloorData!$E$2:$E$97,FloorData!$A$2:$A$97,$B$4,FloorData!$B$2:$B$97,$A28)/100000)/SUMIFS(FloorData!$G$2:$G$97,FloorData!$A$2:$A$97,$B$4,FloorData!$B$2:$B$97,$A28)-1</f>
        <v/>
      </c>
      <c r="F28" s="37">
        <f>(SUMIFS(FloorData!$H$2:$H$97,FloorData!$A$2:$A$97,$B$4,FloorData!$B$2:$B$97,$A28)+F$20*$A28*SUMIFS(FloorData!$E$2:$E$97,FloorData!$A$2:$A$97,$B$4,FloorData!$B$2:$B$97,$A28)/100000)/SUMIFS(FloorData!$G$2:$G$97,FloorData!$A$2:$A$97,$B$4,FloorData!$B$2:$B$97,$A28)-1</f>
        <v/>
      </c>
    </row>
    <row r="29">
      <c r="A29" t="n">
        <v>80</v>
      </c>
      <c r="B29" s="37">
        <f>(SUMIFS(FloorData!$H$2:$H$97,FloorData!$A$2:$A$97,$B$4,FloorData!$B$2:$B$97,$A29)+B$20*$A29*SUMIFS(FloorData!$E$2:$E$97,FloorData!$A$2:$A$97,$B$4,FloorData!$B$2:$B$97,$A29)/100000)/SUMIFS(FloorData!$G$2:$G$97,FloorData!$A$2:$A$97,$B$4,FloorData!$B$2:$B$97,$A29)-1</f>
        <v/>
      </c>
      <c r="C29" s="37">
        <f>(SUMIFS(FloorData!$H$2:$H$97,FloorData!$A$2:$A$97,$B$4,FloorData!$B$2:$B$97,$A29)+C$20*$A29*SUMIFS(FloorData!$E$2:$E$97,FloorData!$A$2:$A$97,$B$4,FloorData!$B$2:$B$97,$A29)/100000)/SUMIFS(FloorData!$G$2:$G$97,FloorData!$A$2:$A$97,$B$4,FloorData!$B$2:$B$97,$A29)-1</f>
        <v/>
      </c>
      <c r="D29" s="37">
        <f>(SUMIFS(FloorData!$H$2:$H$97,FloorData!$A$2:$A$97,$B$4,FloorData!$B$2:$B$97,$A29)+D$20*$A29*SUMIFS(FloorData!$E$2:$E$97,FloorData!$A$2:$A$97,$B$4,FloorData!$B$2:$B$97,$A29)/100000)/SUMIFS(FloorData!$G$2:$G$97,FloorData!$A$2:$A$97,$B$4,FloorData!$B$2:$B$97,$A29)-1</f>
        <v/>
      </c>
      <c r="E29" s="37">
        <f>(SUMIFS(FloorData!$H$2:$H$97,FloorData!$A$2:$A$97,$B$4,FloorData!$B$2:$B$97,$A29)+E$20*$A29*SUMIFS(FloorData!$E$2:$E$97,FloorData!$A$2:$A$97,$B$4,FloorData!$B$2:$B$97,$A29)/100000)/SUMIFS(FloorData!$G$2:$G$97,FloorData!$A$2:$A$97,$B$4,FloorData!$B$2:$B$97,$A29)-1</f>
        <v/>
      </c>
      <c r="F29" s="37">
        <f>(SUMIFS(FloorData!$H$2:$H$97,FloorData!$A$2:$A$97,$B$4,FloorData!$B$2:$B$97,$A29)+F$20*$A29*SUMIFS(FloorData!$E$2:$E$97,FloorData!$A$2:$A$97,$B$4,FloorData!$B$2:$B$97,$A29)/100000)/SUMIFS(FloorData!$G$2:$G$97,FloorData!$A$2:$A$97,$B$4,FloorData!$B$2:$B$97,$A29)-1</f>
        <v/>
      </c>
    </row>
    <row r="30">
      <c r="A30" t="n">
        <v>90</v>
      </c>
      <c r="B30" s="37">
        <f>(SUMIFS(FloorData!$H$2:$H$97,FloorData!$A$2:$A$97,$B$4,FloorData!$B$2:$B$97,$A30)+B$20*$A30*SUMIFS(FloorData!$E$2:$E$97,FloorData!$A$2:$A$97,$B$4,FloorData!$B$2:$B$97,$A30)/100000)/SUMIFS(FloorData!$G$2:$G$97,FloorData!$A$2:$A$97,$B$4,FloorData!$B$2:$B$97,$A30)-1</f>
        <v/>
      </c>
      <c r="C30" s="37">
        <f>(SUMIFS(FloorData!$H$2:$H$97,FloorData!$A$2:$A$97,$B$4,FloorData!$B$2:$B$97,$A30)+C$20*$A30*SUMIFS(FloorData!$E$2:$E$97,FloorData!$A$2:$A$97,$B$4,FloorData!$B$2:$B$97,$A30)/100000)/SUMIFS(FloorData!$G$2:$G$97,FloorData!$A$2:$A$97,$B$4,FloorData!$B$2:$B$97,$A30)-1</f>
        <v/>
      </c>
      <c r="D30" s="37">
        <f>(SUMIFS(FloorData!$H$2:$H$97,FloorData!$A$2:$A$97,$B$4,FloorData!$B$2:$B$97,$A30)+D$20*$A30*SUMIFS(FloorData!$E$2:$E$97,FloorData!$A$2:$A$97,$B$4,FloorData!$B$2:$B$97,$A30)/100000)/SUMIFS(FloorData!$G$2:$G$97,FloorData!$A$2:$A$97,$B$4,FloorData!$B$2:$B$97,$A30)-1</f>
        <v/>
      </c>
      <c r="E30" s="37">
        <f>(SUMIFS(FloorData!$H$2:$H$97,FloorData!$A$2:$A$97,$B$4,FloorData!$B$2:$B$97,$A30)+E$20*$A30*SUMIFS(FloorData!$E$2:$E$97,FloorData!$A$2:$A$97,$B$4,FloorData!$B$2:$B$97,$A30)/100000)/SUMIFS(FloorData!$G$2:$G$97,FloorData!$A$2:$A$97,$B$4,FloorData!$B$2:$B$97,$A30)-1</f>
        <v/>
      </c>
      <c r="F30" s="37">
        <f>(SUMIFS(FloorData!$H$2:$H$97,FloorData!$A$2:$A$97,$B$4,FloorData!$B$2:$B$97,$A30)+F$20*$A30*SUMIFS(FloorData!$E$2:$E$97,FloorData!$A$2:$A$97,$B$4,FloorData!$B$2:$B$97,$A30)/100000)/SUMIFS(FloorData!$G$2:$G$97,FloorData!$A$2:$A$97,$B$4,FloorData!$B$2:$B$97,$A30)-1</f>
        <v/>
      </c>
    </row>
    <row r="31">
      <c r="A31" t="n">
        <v>100</v>
      </c>
      <c r="B31" s="37">
        <f>(SUMIFS(FloorData!$H$2:$H$97,FloorData!$A$2:$A$97,$B$4,FloorData!$B$2:$B$97,$A31)+B$20*$A31*SUMIFS(FloorData!$E$2:$E$97,FloorData!$A$2:$A$97,$B$4,FloorData!$B$2:$B$97,$A31)/100000)/SUMIFS(FloorData!$G$2:$G$97,FloorData!$A$2:$A$97,$B$4,FloorData!$B$2:$B$97,$A31)-1</f>
        <v/>
      </c>
      <c r="C31" s="37">
        <f>(SUMIFS(FloorData!$H$2:$H$97,FloorData!$A$2:$A$97,$B$4,FloorData!$B$2:$B$97,$A31)+C$20*$A31*SUMIFS(FloorData!$E$2:$E$97,FloorData!$A$2:$A$97,$B$4,FloorData!$B$2:$B$97,$A31)/100000)/SUMIFS(FloorData!$G$2:$G$97,FloorData!$A$2:$A$97,$B$4,FloorData!$B$2:$B$97,$A31)-1</f>
        <v/>
      </c>
      <c r="D31" s="37">
        <f>(SUMIFS(FloorData!$H$2:$H$97,FloorData!$A$2:$A$97,$B$4,FloorData!$B$2:$B$97,$A31)+D$20*$A31*SUMIFS(FloorData!$E$2:$E$97,FloorData!$A$2:$A$97,$B$4,FloorData!$B$2:$B$97,$A31)/100000)/SUMIFS(FloorData!$G$2:$G$97,FloorData!$A$2:$A$97,$B$4,FloorData!$B$2:$B$97,$A31)-1</f>
        <v/>
      </c>
      <c r="E31" s="37">
        <f>(SUMIFS(FloorData!$H$2:$H$97,FloorData!$A$2:$A$97,$B$4,FloorData!$B$2:$B$97,$A31)+E$20*$A31*SUMIFS(FloorData!$E$2:$E$97,FloorData!$A$2:$A$97,$B$4,FloorData!$B$2:$B$97,$A31)/100000)/SUMIFS(FloorData!$G$2:$G$97,FloorData!$A$2:$A$97,$B$4,FloorData!$B$2:$B$97,$A31)-1</f>
        <v/>
      </c>
      <c r="F31" s="37">
        <f>(SUMIFS(FloorData!$H$2:$H$97,FloorData!$A$2:$A$97,$B$4,FloorData!$B$2:$B$97,$A31)+F$20*$A31*SUMIFS(FloorData!$E$2:$E$97,FloorData!$A$2:$A$97,$B$4,FloorData!$B$2:$B$97,$A31)/100000)/SUMIFS(FloorData!$G$2:$G$97,FloorData!$A$2:$A$97,$B$4,FloorData!$B$2:$B$97,$A31)-1</f>
        <v/>
      </c>
    </row>
    <row r="32">
      <c r="A32" t="n">
        <v>110</v>
      </c>
      <c r="B32" s="37">
        <f>(SUMIFS(FloorData!$H$2:$H$97,FloorData!$A$2:$A$97,$B$4,FloorData!$B$2:$B$97,$A32)+B$20*$A32*SUMIFS(FloorData!$E$2:$E$97,FloorData!$A$2:$A$97,$B$4,FloorData!$B$2:$B$97,$A32)/100000)/SUMIFS(FloorData!$G$2:$G$97,FloorData!$A$2:$A$97,$B$4,FloorData!$B$2:$B$97,$A32)-1</f>
        <v/>
      </c>
      <c r="C32" s="37">
        <f>(SUMIFS(FloorData!$H$2:$H$97,FloorData!$A$2:$A$97,$B$4,FloorData!$B$2:$B$97,$A32)+C$20*$A32*SUMIFS(FloorData!$E$2:$E$97,FloorData!$A$2:$A$97,$B$4,FloorData!$B$2:$B$97,$A32)/100000)/SUMIFS(FloorData!$G$2:$G$97,FloorData!$A$2:$A$97,$B$4,FloorData!$B$2:$B$97,$A32)-1</f>
        <v/>
      </c>
      <c r="D32" s="37">
        <f>(SUMIFS(FloorData!$H$2:$H$97,FloorData!$A$2:$A$97,$B$4,FloorData!$B$2:$B$97,$A32)+D$20*$A32*SUMIFS(FloorData!$E$2:$E$97,FloorData!$A$2:$A$97,$B$4,FloorData!$B$2:$B$97,$A32)/100000)/SUMIFS(FloorData!$G$2:$G$97,FloorData!$A$2:$A$97,$B$4,FloorData!$B$2:$B$97,$A32)-1</f>
        <v/>
      </c>
      <c r="E32" s="37">
        <f>(SUMIFS(FloorData!$H$2:$H$97,FloorData!$A$2:$A$97,$B$4,FloorData!$B$2:$B$97,$A32)+E$20*$A32*SUMIFS(FloorData!$E$2:$E$97,FloorData!$A$2:$A$97,$B$4,FloorData!$B$2:$B$97,$A32)/100000)/SUMIFS(FloorData!$G$2:$G$97,FloorData!$A$2:$A$97,$B$4,FloorData!$B$2:$B$97,$A32)-1</f>
        <v/>
      </c>
      <c r="F32" s="37">
        <f>(SUMIFS(FloorData!$H$2:$H$97,FloorData!$A$2:$A$97,$B$4,FloorData!$B$2:$B$97,$A32)+F$20*$A32*SUMIFS(FloorData!$E$2:$E$97,FloorData!$A$2:$A$97,$B$4,FloorData!$B$2:$B$97,$A32)/100000)/SUMIFS(FloorData!$G$2:$G$97,FloorData!$A$2:$A$97,$B$4,FloorData!$B$2:$B$97,$A32)-1</f>
        <v/>
      </c>
    </row>
    <row r="33">
      <c r="A33" t="n">
        <v>120</v>
      </c>
      <c r="B33" s="37">
        <f>(SUMIFS(FloorData!$H$2:$H$97,FloorData!$A$2:$A$97,$B$4,FloorData!$B$2:$B$97,$A33)+B$20*$A33*SUMIFS(FloorData!$E$2:$E$97,FloorData!$A$2:$A$97,$B$4,FloorData!$B$2:$B$97,$A33)/100000)/SUMIFS(FloorData!$G$2:$G$97,FloorData!$A$2:$A$97,$B$4,FloorData!$B$2:$B$97,$A33)-1</f>
        <v/>
      </c>
      <c r="C33" s="37">
        <f>(SUMIFS(FloorData!$H$2:$H$97,FloorData!$A$2:$A$97,$B$4,FloorData!$B$2:$B$97,$A33)+C$20*$A33*SUMIFS(FloorData!$E$2:$E$97,FloorData!$A$2:$A$97,$B$4,FloorData!$B$2:$B$97,$A33)/100000)/SUMIFS(FloorData!$G$2:$G$97,FloorData!$A$2:$A$97,$B$4,FloorData!$B$2:$B$97,$A33)-1</f>
        <v/>
      </c>
      <c r="D33" s="37">
        <f>(SUMIFS(FloorData!$H$2:$H$97,FloorData!$A$2:$A$97,$B$4,FloorData!$B$2:$B$97,$A33)+D$20*$A33*SUMIFS(FloorData!$E$2:$E$97,FloorData!$A$2:$A$97,$B$4,FloorData!$B$2:$B$97,$A33)/100000)/SUMIFS(FloorData!$G$2:$G$97,FloorData!$A$2:$A$97,$B$4,FloorData!$B$2:$B$97,$A33)-1</f>
        <v/>
      </c>
      <c r="E33" s="37">
        <f>(SUMIFS(FloorData!$H$2:$H$97,FloorData!$A$2:$A$97,$B$4,FloorData!$B$2:$B$97,$A33)+E$20*$A33*SUMIFS(FloorData!$E$2:$E$97,FloorData!$A$2:$A$97,$B$4,FloorData!$B$2:$B$97,$A33)/100000)/SUMIFS(FloorData!$G$2:$G$97,FloorData!$A$2:$A$97,$B$4,FloorData!$B$2:$B$97,$A33)-1</f>
        <v/>
      </c>
      <c r="F33" s="37">
        <f>(SUMIFS(FloorData!$H$2:$H$97,FloorData!$A$2:$A$97,$B$4,FloorData!$B$2:$B$97,$A33)+F$20*$A33*SUMIFS(FloorData!$E$2:$E$97,FloorData!$A$2:$A$97,$B$4,FloorData!$B$2:$B$97,$A33)/100000)/SUMIFS(FloorData!$G$2:$G$97,FloorData!$A$2:$A$97,$B$4,FloorData!$B$2:$B$97,$A33)-1</f>
        <v/>
      </c>
    </row>
    <row r="34">
      <c r="A34" t="n">
        <v>130</v>
      </c>
      <c r="B34" s="37">
        <f>(SUMIFS(FloorData!$H$2:$H$97,FloorData!$A$2:$A$97,$B$4,FloorData!$B$2:$B$97,$A34)+B$20*$A34*SUMIFS(FloorData!$E$2:$E$97,FloorData!$A$2:$A$97,$B$4,FloorData!$B$2:$B$97,$A34)/100000)/SUMIFS(FloorData!$G$2:$G$97,FloorData!$A$2:$A$97,$B$4,FloorData!$B$2:$B$97,$A34)-1</f>
        <v/>
      </c>
      <c r="C34" s="37">
        <f>(SUMIFS(FloorData!$H$2:$H$97,FloorData!$A$2:$A$97,$B$4,FloorData!$B$2:$B$97,$A34)+C$20*$A34*SUMIFS(FloorData!$E$2:$E$97,FloorData!$A$2:$A$97,$B$4,FloorData!$B$2:$B$97,$A34)/100000)/SUMIFS(FloorData!$G$2:$G$97,FloorData!$A$2:$A$97,$B$4,FloorData!$B$2:$B$97,$A34)-1</f>
        <v/>
      </c>
      <c r="D34" s="37">
        <f>(SUMIFS(FloorData!$H$2:$H$97,FloorData!$A$2:$A$97,$B$4,FloorData!$B$2:$B$97,$A34)+D$20*$A34*SUMIFS(FloorData!$E$2:$E$97,FloorData!$A$2:$A$97,$B$4,FloorData!$B$2:$B$97,$A34)/100000)/SUMIFS(FloorData!$G$2:$G$97,FloorData!$A$2:$A$97,$B$4,FloorData!$B$2:$B$97,$A34)-1</f>
        <v/>
      </c>
      <c r="E34" s="37">
        <f>(SUMIFS(FloorData!$H$2:$H$97,FloorData!$A$2:$A$97,$B$4,FloorData!$B$2:$B$97,$A34)+E$20*$A34*SUMIFS(FloorData!$E$2:$E$97,FloorData!$A$2:$A$97,$B$4,FloorData!$B$2:$B$97,$A34)/100000)/SUMIFS(FloorData!$G$2:$G$97,FloorData!$A$2:$A$97,$B$4,FloorData!$B$2:$B$97,$A34)-1</f>
        <v/>
      </c>
      <c r="F34" s="37">
        <f>(SUMIFS(FloorData!$H$2:$H$97,FloorData!$A$2:$A$97,$B$4,FloorData!$B$2:$B$97,$A34)+F$20*$A34*SUMIFS(FloorData!$E$2:$E$97,FloorData!$A$2:$A$97,$B$4,FloorData!$B$2:$B$97,$A34)/100000)/SUMIFS(FloorData!$G$2:$G$97,FloorData!$A$2:$A$97,$B$4,FloorData!$B$2:$B$97,$A34)-1</f>
        <v/>
      </c>
    </row>
    <row r="35">
      <c r="A35" t="n">
        <v>140</v>
      </c>
      <c r="B35" s="37">
        <f>(SUMIFS(FloorData!$H$2:$H$97,FloorData!$A$2:$A$97,$B$4,FloorData!$B$2:$B$97,$A35)+B$20*$A35*SUMIFS(FloorData!$E$2:$E$97,FloorData!$A$2:$A$97,$B$4,FloorData!$B$2:$B$97,$A35)/100000)/SUMIFS(FloorData!$G$2:$G$97,FloorData!$A$2:$A$97,$B$4,FloorData!$B$2:$B$97,$A35)-1</f>
        <v/>
      </c>
      <c r="C35" s="37">
        <f>(SUMIFS(FloorData!$H$2:$H$97,FloorData!$A$2:$A$97,$B$4,FloorData!$B$2:$B$97,$A35)+C$20*$A35*SUMIFS(FloorData!$E$2:$E$97,FloorData!$A$2:$A$97,$B$4,FloorData!$B$2:$B$97,$A35)/100000)/SUMIFS(FloorData!$G$2:$G$97,FloorData!$A$2:$A$97,$B$4,FloorData!$B$2:$B$97,$A35)-1</f>
        <v/>
      </c>
      <c r="D35" s="37">
        <f>(SUMIFS(FloorData!$H$2:$H$97,FloorData!$A$2:$A$97,$B$4,FloorData!$B$2:$B$97,$A35)+D$20*$A35*SUMIFS(FloorData!$E$2:$E$97,FloorData!$A$2:$A$97,$B$4,FloorData!$B$2:$B$97,$A35)/100000)/SUMIFS(FloorData!$G$2:$G$97,FloorData!$A$2:$A$97,$B$4,FloorData!$B$2:$B$97,$A35)-1</f>
        <v/>
      </c>
      <c r="E35" s="37">
        <f>(SUMIFS(FloorData!$H$2:$H$97,FloorData!$A$2:$A$97,$B$4,FloorData!$B$2:$B$97,$A35)+E$20*$A35*SUMIFS(FloorData!$E$2:$E$97,FloorData!$A$2:$A$97,$B$4,FloorData!$B$2:$B$97,$A35)/100000)/SUMIFS(FloorData!$G$2:$G$97,FloorData!$A$2:$A$97,$B$4,FloorData!$B$2:$B$97,$A35)-1</f>
        <v/>
      </c>
      <c r="F35" s="37">
        <f>(SUMIFS(FloorData!$H$2:$H$97,FloorData!$A$2:$A$97,$B$4,FloorData!$B$2:$B$97,$A35)+F$20*$A35*SUMIFS(FloorData!$E$2:$E$97,FloorData!$A$2:$A$97,$B$4,FloorData!$B$2:$B$97,$A35)/100000)/SUMIFS(FloorData!$G$2:$G$97,FloorData!$A$2:$A$97,$B$4,FloorData!$B$2:$B$97,$A35)-1</f>
        <v/>
      </c>
    </row>
    <row r="36">
      <c r="A36" t="n">
        <v>150</v>
      </c>
      <c r="B36" s="37">
        <f>(SUMIFS(FloorData!$H$2:$H$97,FloorData!$A$2:$A$97,$B$4,FloorData!$B$2:$B$97,$A36)+B$20*$A36*SUMIFS(FloorData!$E$2:$E$97,FloorData!$A$2:$A$97,$B$4,FloorData!$B$2:$B$97,$A36)/100000)/SUMIFS(FloorData!$G$2:$G$97,FloorData!$A$2:$A$97,$B$4,FloorData!$B$2:$B$97,$A36)-1</f>
        <v/>
      </c>
      <c r="C36" s="37">
        <f>(SUMIFS(FloorData!$H$2:$H$97,FloorData!$A$2:$A$97,$B$4,FloorData!$B$2:$B$97,$A36)+C$20*$A36*SUMIFS(FloorData!$E$2:$E$97,FloorData!$A$2:$A$97,$B$4,FloorData!$B$2:$B$97,$A36)/100000)/SUMIFS(FloorData!$G$2:$G$97,FloorData!$A$2:$A$97,$B$4,FloorData!$B$2:$B$97,$A36)-1</f>
        <v/>
      </c>
      <c r="D36" s="37">
        <f>(SUMIFS(FloorData!$H$2:$H$97,FloorData!$A$2:$A$97,$B$4,FloorData!$B$2:$B$97,$A36)+D$20*$A36*SUMIFS(FloorData!$E$2:$E$97,FloorData!$A$2:$A$97,$B$4,FloorData!$B$2:$B$97,$A36)/100000)/SUMIFS(FloorData!$G$2:$G$97,FloorData!$A$2:$A$97,$B$4,FloorData!$B$2:$B$97,$A36)-1</f>
        <v/>
      </c>
      <c r="E36" s="37">
        <f>(SUMIFS(FloorData!$H$2:$H$97,FloorData!$A$2:$A$97,$B$4,FloorData!$B$2:$B$97,$A36)+E$20*$A36*SUMIFS(FloorData!$E$2:$E$97,FloorData!$A$2:$A$97,$B$4,FloorData!$B$2:$B$97,$A36)/100000)/SUMIFS(FloorData!$G$2:$G$97,FloorData!$A$2:$A$97,$B$4,FloorData!$B$2:$B$97,$A36)-1</f>
        <v/>
      </c>
      <c r="F36" s="37">
        <f>(SUMIFS(FloorData!$H$2:$H$97,FloorData!$A$2:$A$97,$B$4,FloorData!$B$2:$B$97,$A36)+F$20*$A36*SUMIFS(FloorData!$E$2:$E$97,FloorData!$A$2:$A$97,$B$4,FloorData!$B$2:$B$97,$A36)/100000)/SUMIFS(FloorData!$G$2:$G$97,FloorData!$A$2:$A$97,$B$4,FloorData!$B$2:$B$97,$A36)-1</f>
        <v/>
      </c>
    </row>
  </sheetData>
  <dataValidations count="3">
    <dataValidation sqref="B4" showDropDown="0" showInputMessage="0" showErrorMessage="0" allowBlank="0" type="list">
      <formula1>"All,Exchange 1,Exchange 2,Exchange 3,Exchange 4,Mobile/unknown"</formula1>
    </dataValidation>
    <dataValidation sqref="B5" showDropDown="0" showInputMessage="0" showErrorMessage="0" allowBlank="0" type="list">
      <formula1>"0,10,20,30,40,50,60,70,80,90,100,110,120,130,140,150"</formula1>
    </dataValidation>
    <dataValidation sqref="B6" showDropDown="0" showInputMessage="0" showErrorMessage="0" allowBlank="0" type="decimal" operator="between">
      <formula1>0</formula1>
      <formula2>1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52" customWidth="1" min="4" max="4"/>
  </cols>
  <sheetData>
    <row r="1">
      <c r="A1" s="1" t="inlineStr">
        <is>
          <t>A/B readout: does showing ads raise conversion? (Criteo Uplift, 13.98M users)</t>
        </is>
      </c>
    </row>
    <row r="2">
      <c r="A2" s="4" t="inlineStr">
        <is>
          <t>Counts are inputs; every statistic below is a formula. Design fixed before the readout (docs/EXPERIMENT.md).</t>
        </is>
      </c>
    </row>
    <row r="4">
      <c r="A4" s="12" t="inlineStr"/>
      <c r="B4" s="12" t="inlineStr">
        <is>
          <t>Treatment</t>
        </is>
      </c>
      <c r="C4" s="12" t="inlineStr">
        <is>
          <t>Control</t>
        </is>
      </c>
    </row>
    <row r="5">
      <c r="A5" t="inlineStr">
        <is>
          <t>Users</t>
        </is>
      </c>
      <c r="B5" s="38" t="n">
        <v>11882655</v>
      </c>
      <c r="C5" s="38" t="n">
        <v>2096937</v>
      </c>
    </row>
    <row r="6">
      <c r="A6" t="inlineStr">
        <is>
          <t>Visits</t>
        </is>
      </c>
      <c r="B6" s="38" t="n">
        <v>576824</v>
      </c>
      <c r="C6" s="38" t="n">
        <v>80105</v>
      </c>
    </row>
    <row r="7">
      <c r="A7" t="inlineStr">
        <is>
          <t>Conversions</t>
        </is>
      </c>
      <c r="B7" s="38" t="n">
        <v>36711</v>
      </c>
      <c r="C7" s="38" t="n">
        <v>4063</v>
      </c>
    </row>
    <row r="8">
      <c r="A8" t="inlineStr">
        <is>
          <t>Exposed to an ad</t>
        </is>
      </c>
      <c r="B8" s="38" t="n">
        <v>428212</v>
      </c>
      <c r="C8" s="38" t="n">
        <v>0</v>
      </c>
    </row>
    <row r="10">
      <c r="A10" t="inlineStr">
        <is>
          <t>Alpha (two-sided)</t>
        </is>
      </c>
      <c r="B10" s="27" t="n">
        <v>0.05</v>
      </c>
    </row>
    <row r="11">
      <c r="A11" t="inlineStr">
        <is>
          <t>Intended treatment share</t>
        </is>
      </c>
      <c r="B11" s="27" t="n">
        <v>0.85</v>
      </c>
    </row>
    <row r="13">
      <c r="A13" s="5" t="inlineStr">
        <is>
          <t>Observed treatment share</t>
        </is>
      </c>
      <c r="B13" s="39">
        <f>B5/(B5+C5)</f>
        <v/>
      </c>
      <c r="C13" s="4" t="inlineStr">
        <is>
          <t>SRM check: should match the intended share</t>
        </is>
      </c>
    </row>
    <row r="14">
      <c r="A14" s="5" t="inlineStr">
        <is>
          <t>SRM chi-square</t>
        </is>
      </c>
      <c r="B14" s="40">
        <f>(B5-(B5+C5)*B11)^2/((B5+C5)*B11)+(C5-(B5+C5)*(1-B11))^2/((B5+C5)*(1-B11))</f>
        <v/>
      </c>
      <c r="C14" s="4" t="inlineStr">
        <is>
          <t>compare with 10.83 (p = 0.001, 1 df)</t>
        </is>
      </c>
    </row>
    <row r="15">
      <c r="A15" s="5" t="inlineStr">
        <is>
          <t>Conversion rate, treatment</t>
        </is>
      </c>
      <c r="B15" s="39">
        <f>B7/B5</f>
        <v/>
      </c>
    </row>
    <row r="16">
      <c r="A16" s="5" t="inlineStr">
        <is>
          <t>Conversion rate, control</t>
        </is>
      </c>
      <c r="B16" s="39">
        <f>C7/C5</f>
        <v/>
      </c>
    </row>
    <row r="17">
      <c r="A17" s="5" t="inlineStr">
        <is>
          <t>Absolute lift (percentage points)</t>
        </is>
      </c>
      <c r="B17" s="39">
        <f>B15-B16</f>
        <v/>
      </c>
    </row>
    <row r="18">
      <c r="A18" s="5" t="inlineStr">
        <is>
          <t>Relative lift</t>
        </is>
      </c>
      <c r="B18" s="41">
        <f>B15/B16-1</f>
        <v/>
      </c>
    </row>
    <row r="19">
      <c r="A19" s="5" t="inlineStr">
        <is>
          <t>z critical</t>
        </is>
      </c>
      <c r="B19" s="42">
        <f>_xlfn.NORM.S.INV(1-B10/2)</f>
        <v/>
      </c>
      <c r="C19" s="4" t="inlineStr">
        <is>
          <t>1.96 for 95%</t>
        </is>
      </c>
    </row>
    <row r="20">
      <c r="A20" s="5" t="inlineStr">
        <is>
          <t>Standard error (unpooled)</t>
        </is>
      </c>
      <c r="B20" s="40">
        <f>SQRT(B15*(1-B15)/B5+B16*(1-B16)/C5)</f>
        <v/>
      </c>
    </row>
    <row r="21">
      <c r="A21" s="5" t="inlineStr">
        <is>
          <t>95% CI low</t>
        </is>
      </c>
      <c r="B21" s="39">
        <f>B17-B19*B20</f>
        <v/>
      </c>
    </row>
    <row r="22">
      <c r="A22" s="5" t="inlineStr">
        <is>
          <t>95% CI high</t>
        </is>
      </c>
      <c r="B22" s="39">
        <f>B17+B19*B20</f>
        <v/>
      </c>
    </row>
    <row r="23">
      <c r="A23" s="5" t="inlineStr">
        <is>
          <t>Pooled rate</t>
        </is>
      </c>
      <c r="B23" s="39">
        <f>(B7+C7)/(B5+C5)</f>
        <v/>
      </c>
      <c r="C23" s="4" t="inlineStr">
        <is>
          <t>used only for the test, assuming no difference</t>
        </is>
      </c>
    </row>
    <row r="24">
      <c r="A24" s="5" t="inlineStr">
        <is>
          <t>z statistic</t>
        </is>
      </c>
      <c r="B24" s="43">
        <f>B17/SQRT(B23*(1-B23)*(1/B5+1/C5))</f>
        <v/>
      </c>
    </row>
    <row r="25">
      <c r="A25" s="5" t="inlineStr">
        <is>
          <t>p-value</t>
        </is>
      </c>
      <c r="B25" s="44">
        <f>2*(1-_xlfn.NORM.S.DIST(ABS(B24),TRUE))</f>
        <v/>
      </c>
      <c r="C25" s="4" t="inlineStr">
        <is>
          <t>shows 0 when smaller than spreadsheet precision</t>
        </is>
      </c>
    </row>
    <row r="26">
      <c r="A26" s="5" t="inlineStr">
        <is>
          <t>Visit rate, treatment</t>
        </is>
      </c>
      <c r="B26" s="45">
        <f>B6/B5</f>
        <v/>
      </c>
    </row>
    <row r="27">
      <c r="A27" s="5" t="inlineStr">
        <is>
          <t>Visit rate, control</t>
        </is>
      </c>
      <c r="B27" s="45">
        <f>C6/C5</f>
        <v/>
      </c>
    </row>
    <row r="28">
      <c r="A28" s="5" t="inlineStr">
        <is>
          <t>Visit lift CI low (guardrail)</t>
        </is>
      </c>
      <c r="B28" s="39">
        <f>(B26-B27)-B19*SQRT(B26*(1-B26)/B5+B27*(1-B27)/C5)</f>
        <v/>
      </c>
      <c r="C28" s="4" t="inlineStr">
        <is>
          <t>must be &gt;= 0</t>
        </is>
      </c>
    </row>
    <row r="29">
      <c r="A29" s="5" t="inlineStr">
        <is>
          <t>MDE, conversion (80% power)</t>
        </is>
      </c>
      <c r="B29" s="39">
        <f>(B19+_xlfn.NORM.S.INV(0.8))*SQRT(B16*(1-B16)*(1/B5+1/C5))</f>
        <v/>
      </c>
      <c r="C29" s="4" t="inlineStr">
        <is>
          <t>smallest lift this test could reliably detect</t>
        </is>
      </c>
    </row>
    <row r="30">
      <c r="A30" s="5" t="inlineStr">
        <is>
          <t>Exposure rate in treatment</t>
        </is>
      </c>
      <c r="B30" s="45">
        <f>B8/B5</f>
        <v/>
      </c>
    </row>
    <row r="31">
      <c r="A31" s="5" t="inlineStr">
        <is>
          <t>Lift for users who saw an ad (CACE)</t>
        </is>
      </c>
      <c r="B31" s="45">
        <f>B17/B30</f>
        <v/>
      </c>
      <c r="C31" s="4" t="inlineStr">
        <is>
          <t>ITT / exposure rate</t>
        </is>
      </c>
    </row>
    <row r="32">
      <c r="A32" s="5" t="inlineStr">
        <is>
          <t>Decision (pre-registered rule)</t>
        </is>
      </c>
      <c r="B32" s="11">
        <f>IF(B14&gt;=10.83,"untrustworthy (SRM)",IF(AND(B21&gt;0,B28&gt;=0),"SHIP",IF(OR(B22&lt;0,B33&lt;0),"DON'T SHIP","INCONCLUSIVE")))</f>
        <v/>
      </c>
      <c r="C32" s="4" t="inlineStr">
        <is>
          <t>rule in docs/EXPERIMENT.md section 7</t>
        </is>
      </c>
    </row>
    <row r="33">
      <c r="A33" s="5" t="inlineStr">
        <is>
          <t>Visit lift CI high (guardrail)</t>
        </is>
      </c>
      <c r="B33" s="39">
        <f>(B26-B27)+B19*SQRT(B26*(1-B26)/B5+B27*(1-B27)/C5)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22" customWidth="1" min="12" max="12"/>
  </cols>
  <sheetData>
    <row r="1">
      <c r="A1" s="12" t="inlineStr">
        <is>
          <t>day</t>
        </is>
      </c>
      <c r="B1" s="12" t="inlineStr">
        <is>
          <t>bids</t>
        </is>
      </c>
      <c r="C1" s="12" t="inlineStr">
        <is>
          <t>bids_won</t>
        </is>
      </c>
      <c r="D1" s="12" t="inlineStr">
        <is>
          <t>win_rate</t>
        </is>
      </c>
      <c r="E1" s="12" t="inlineStr">
        <is>
          <t>impressions</t>
        </is>
      </c>
      <c r="F1" s="12" t="inlineStr">
        <is>
          <t>spend_cny</t>
        </is>
      </c>
      <c r="G1" s="12" t="inlineStr">
        <is>
          <t>cpm_cny</t>
        </is>
      </c>
      <c r="H1" s="12" t="inlineStr">
        <is>
          <t>clicks</t>
        </is>
      </c>
      <c r="I1" s="12" t="inlineStr">
        <is>
          <t>ctr</t>
        </is>
      </c>
      <c r="J1" s="12" t="inlineStr">
        <is>
          <t>cpc_cny</t>
        </is>
      </c>
      <c r="K1" s="12" t="inlineStr">
        <is>
          <t>conversions</t>
        </is>
      </c>
      <c r="L1" s="12" t="inlineStr">
        <is>
          <t>active_advertisers</t>
        </is>
      </c>
    </row>
    <row r="2">
      <c r="A2" t="inlineStr">
        <is>
          <t>2013-10-19</t>
        </is>
      </c>
      <c r="B2" t="n">
        <v>352766</v>
      </c>
      <c r="C2" t="n">
        <v>227827</v>
      </c>
      <c r="D2" s="14" t="n">
        <v>0.6458</v>
      </c>
      <c r="E2" t="n">
        <v>227827</v>
      </c>
      <c r="F2" s="13" t="n">
        <v>197.65</v>
      </c>
      <c r="G2" t="n">
        <v>0.8675</v>
      </c>
      <c r="H2" t="n">
        <v>83</v>
      </c>
      <c r="I2" s="16" t="n">
        <v>0.000364</v>
      </c>
      <c r="J2" t="n">
        <v>2.3813</v>
      </c>
      <c r="K2" t="n">
        <v>16</v>
      </c>
      <c r="L2" t="n">
        <v>1</v>
      </c>
    </row>
    <row r="3">
      <c r="A3" t="inlineStr">
        <is>
          <t>2013-10-20</t>
        </is>
      </c>
      <c r="B3" t="n">
        <v>326830</v>
      </c>
      <c r="C3" t="n">
        <v>214022</v>
      </c>
      <c r="D3" s="14" t="n">
        <v>0.6548</v>
      </c>
      <c r="E3" t="n">
        <v>214022</v>
      </c>
      <c r="F3" s="13" t="n">
        <v>188.19</v>
      </c>
      <c r="G3" t="n">
        <v>0.8793</v>
      </c>
      <c r="H3" t="n">
        <v>65</v>
      </c>
      <c r="I3" s="16" t="n">
        <v>0.000304</v>
      </c>
      <c r="J3" t="n">
        <v>2.8952</v>
      </c>
      <c r="K3" t="n">
        <v>22</v>
      </c>
      <c r="L3" t="n">
        <v>1</v>
      </c>
    </row>
    <row r="4">
      <c r="A4" t="inlineStr">
        <is>
          <t>2013-10-21</t>
        </is>
      </c>
      <c r="B4" t="n">
        <v>1547653</v>
      </c>
      <c r="C4" t="n">
        <v>844982</v>
      </c>
      <c r="D4" s="14" t="n">
        <v>0.546</v>
      </c>
      <c r="E4" t="n">
        <v>844982</v>
      </c>
      <c r="F4" s="13" t="n">
        <v>762.1900000000001</v>
      </c>
      <c r="G4" t="n">
        <v>0.902</v>
      </c>
      <c r="H4" t="n">
        <v>509</v>
      </c>
      <c r="I4" s="16" t="n">
        <v>0.000602</v>
      </c>
      <c r="J4" t="n">
        <v>1.4974</v>
      </c>
      <c r="K4" t="n">
        <v>270</v>
      </c>
      <c r="L4" t="n">
        <v>2</v>
      </c>
    </row>
    <row r="5">
      <c r="A5" t="inlineStr">
        <is>
          <t>2013-10-22</t>
        </is>
      </c>
      <c r="B5" t="n">
        <v>1212083</v>
      </c>
      <c r="C5" t="n">
        <v>708834</v>
      </c>
      <c r="D5" s="14" t="n">
        <v>0.5848</v>
      </c>
      <c r="E5" t="n">
        <v>723510</v>
      </c>
      <c r="F5" s="13" t="n">
        <v>665.03</v>
      </c>
      <c r="G5" t="n">
        <v>0.9192</v>
      </c>
      <c r="H5" t="n">
        <v>401</v>
      </c>
      <c r="I5" s="16" t="n">
        <v>0.000554</v>
      </c>
      <c r="J5" t="n">
        <v>1.6584</v>
      </c>
      <c r="K5" t="n">
        <v>190</v>
      </c>
      <c r="L5" t="n">
        <v>2</v>
      </c>
    </row>
    <row r="6">
      <c r="A6" t="inlineStr">
        <is>
          <t>2013-10-23</t>
        </is>
      </c>
      <c r="B6" t="n">
        <v>1578272</v>
      </c>
      <c r="C6" t="n">
        <v>485170</v>
      </c>
      <c r="D6" s="14" t="n">
        <v>0.3074</v>
      </c>
      <c r="E6" t="n">
        <v>485170</v>
      </c>
      <c r="F6" s="13" t="n">
        <v>468.17</v>
      </c>
      <c r="G6" t="n">
        <v>0.965</v>
      </c>
      <c r="H6" t="n">
        <v>705</v>
      </c>
      <c r="I6" s="16" t="n">
        <v>0.001453</v>
      </c>
      <c r="J6" t="n">
        <v>0.6641</v>
      </c>
      <c r="K6" t="n">
        <v>89</v>
      </c>
      <c r="L6" t="n">
        <v>3</v>
      </c>
    </row>
    <row r="7">
      <c r="A7" t="inlineStr">
        <is>
          <t>2013-10-24</t>
        </is>
      </c>
      <c r="B7" t="n">
        <v>2184015</v>
      </c>
      <c r="C7" t="n">
        <v>642510</v>
      </c>
      <c r="D7" s="14" t="n">
        <v>0.2942</v>
      </c>
      <c r="E7" t="n">
        <v>645279</v>
      </c>
      <c r="F7" s="13" t="n">
        <v>586.76</v>
      </c>
      <c r="G7" t="n">
        <v>0.9093</v>
      </c>
      <c r="H7" t="n">
        <v>575</v>
      </c>
      <c r="I7" s="16" t="n">
        <v>0.000891</v>
      </c>
      <c r="J7" t="n">
        <v>1.0205</v>
      </c>
      <c r="K7" t="n">
        <v>104</v>
      </c>
      <c r="L7" t="n">
        <v>4</v>
      </c>
    </row>
    <row r="8">
      <c r="A8" t="inlineStr">
        <is>
          <t>2013-10-25</t>
        </is>
      </c>
      <c r="B8" t="n">
        <v>2230333</v>
      </c>
      <c r="C8" t="n">
        <v>703687</v>
      </c>
      <c r="D8" s="14" t="n">
        <v>0.3155</v>
      </c>
      <c r="E8" t="n">
        <v>706046</v>
      </c>
      <c r="F8" s="13" t="n">
        <v>676.97</v>
      </c>
      <c r="G8" t="n">
        <v>0.9588</v>
      </c>
      <c r="H8" t="n">
        <v>601</v>
      </c>
      <c r="I8" s="16" t="n">
        <v>0.000851</v>
      </c>
      <c r="J8" t="n">
        <v>1.1264</v>
      </c>
      <c r="K8" t="n">
        <v>86</v>
      </c>
      <c r="L8" t="n">
        <v>4</v>
      </c>
    </row>
    <row r="9">
      <c r="A9" t="inlineStr">
        <is>
          <t>2013-10-26</t>
        </is>
      </c>
      <c r="B9" t="n">
        <v>536934</v>
      </c>
      <c r="C9" t="n">
        <v>313027</v>
      </c>
      <c r="D9" s="14" t="n">
        <v>0.583</v>
      </c>
      <c r="E9" t="n">
        <v>313152</v>
      </c>
      <c r="F9" s="13" t="n">
        <v>268.6</v>
      </c>
      <c r="G9" t="n">
        <v>0.8577</v>
      </c>
      <c r="H9" t="n">
        <v>381</v>
      </c>
      <c r="I9" s="16" t="n">
        <v>0.001217</v>
      </c>
      <c r="J9" t="n">
        <v>0.705</v>
      </c>
      <c r="K9" t="n">
        <v>0</v>
      </c>
      <c r="L9" t="n">
        <v>3</v>
      </c>
    </row>
    <row r="10">
      <c r="A10" t="inlineStr">
        <is>
          <t>2013-10-27</t>
        </is>
      </c>
      <c r="B10" t="n">
        <v>597857</v>
      </c>
      <c r="C10" t="n">
        <v>273571</v>
      </c>
      <c r="D10" s="14" t="n">
        <v>0.4576</v>
      </c>
      <c r="E10" t="n">
        <v>273571</v>
      </c>
      <c r="F10" s="13" t="n">
        <v>197.34</v>
      </c>
      <c r="G10" t="n">
        <v>0.7213000000000001</v>
      </c>
      <c r="H10" t="n">
        <v>457</v>
      </c>
      <c r="I10" s="16" t="n">
        <v>0.00167</v>
      </c>
      <c r="J10" t="n">
        <v>0.4318</v>
      </c>
      <c r="K10" t="n">
        <v>0</v>
      </c>
      <c r="L10" t="n">
        <v>2</v>
      </c>
    </row>
    <row r="11">
      <c r="A11" t="inlineStr">
        <is>
          <t>2013-10-28</t>
        </is>
      </c>
      <c r="B11" t="n">
        <v>890676</v>
      </c>
      <c r="C11" t="n">
        <v>291075</v>
      </c>
      <c r="D11" s="14" t="n">
        <v>0.3268</v>
      </c>
      <c r="E11" t="n">
        <v>291075</v>
      </c>
      <c r="F11" s="13" t="n">
        <v>242.92</v>
      </c>
      <c r="G11" t="n">
        <v>0.8346</v>
      </c>
      <c r="H11" t="n">
        <v>81</v>
      </c>
      <c r="I11" s="16" t="n">
        <v>0.000278</v>
      </c>
      <c r="J11" t="n">
        <v>2.999</v>
      </c>
      <c r="K11" t="n">
        <v>0</v>
      </c>
      <c r="L1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5" customWidth="1" min="6" max="6"/>
    <col width="13" customWidth="1" min="7" max="7"/>
    <col width="15" customWidth="1" min="8" max="8"/>
    <col width="12" customWidth="1" min="9" max="9"/>
    <col width="12" customWidth="1" min="10" max="10"/>
    <col width="12" customWidth="1" min="11" max="11"/>
    <col width="12" customWidth="1" min="12" max="12"/>
    <col width="15" customWidth="1" min="13" max="13"/>
    <col width="12" customWidth="1" min="14" max="14"/>
    <col width="12" customWidth="1" min="15" max="15"/>
  </cols>
  <sheetData>
    <row r="1">
      <c r="A1" s="12" t="inlineStr">
        <is>
          <t>advertiser_id</t>
        </is>
      </c>
      <c r="B1" s="12" t="inlineStr">
        <is>
          <t>category</t>
        </is>
      </c>
      <c r="C1" s="12" t="inlineStr">
        <is>
          <t>active_days</t>
        </is>
      </c>
      <c r="D1" s="12" t="inlineStr">
        <is>
          <t>bids</t>
        </is>
      </c>
      <c r="E1" s="12" t="inlineStr">
        <is>
          <t>win_rate</t>
        </is>
      </c>
      <c r="F1" s="12" t="inlineStr">
        <is>
          <t>impressions</t>
        </is>
      </c>
      <c r="G1" s="12" t="inlineStr">
        <is>
          <t>spend_cny</t>
        </is>
      </c>
      <c r="H1" s="12" t="inlineStr">
        <is>
          <t>spend_share</t>
        </is>
      </c>
      <c r="I1" s="12" t="inlineStr">
        <is>
          <t>cpm_cny</t>
        </is>
      </c>
      <c r="J1" s="12" t="inlineStr">
        <is>
          <t>clicks</t>
        </is>
      </c>
      <c r="K1" s="12" t="inlineStr">
        <is>
          <t>ctr</t>
        </is>
      </c>
      <c r="L1" s="12" t="inlineStr">
        <is>
          <t>cpc_cny</t>
        </is>
      </c>
      <c r="M1" s="12" t="inlineStr">
        <is>
          <t>conversions</t>
        </is>
      </c>
      <c r="N1" s="12" t="inlineStr">
        <is>
          <t>cvr</t>
        </is>
      </c>
      <c r="O1" s="12" t="inlineStr">
        <is>
          <t>cpa_cny</t>
        </is>
      </c>
    </row>
    <row r="2">
      <c r="A2" t="n">
        <v>2821</v>
      </c>
      <c r="B2" t="inlineStr">
        <is>
          <t>Footwear</t>
        </is>
      </c>
      <c r="C2" t="n">
        <v>6</v>
      </c>
      <c r="D2" t="n">
        <v>5292053</v>
      </c>
      <c r="E2" s="14" t="n">
        <v>0.371</v>
      </c>
      <c r="F2" t="n">
        <v>1975823</v>
      </c>
      <c r="G2" t="n">
        <v>1857.09</v>
      </c>
      <c r="H2" s="14" t="n">
        <v>0.4366</v>
      </c>
      <c r="I2" t="n">
        <v>0.9399</v>
      </c>
      <c r="J2" t="n">
        <v>1226</v>
      </c>
      <c r="K2" s="16" t="n">
        <v>0.000621</v>
      </c>
      <c r="L2" t="n">
        <v>1.5148</v>
      </c>
      <c r="M2" t="n">
        <v>656</v>
      </c>
      <c r="N2" t="n">
        <v>0.5351</v>
      </c>
      <c r="O2" t="n">
        <v>2.8309</v>
      </c>
    </row>
    <row r="3">
      <c r="A3" t="n">
        <v>2259</v>
      </c>
      <c r="B3" t="inlineStr">
        <is>
          <t>Milk powder</t>
        </is>
      </c>
      <c r="C3" t="n">
        <v>7</v>
      </c>
      <c r="D3" t="n">
        <v>2987731</v>
      </c>
      <c r="E3" s="14" t="n">
        <v>0.4169</v>
      </c>
      <c r="F3" t="n">
        <v>1251506</v>
      </c>
      <c r="G3" t="n">
        <v>1211.56</v>
      </c>
      <c r="H3" s="14" t="n">
        <v>0.2848</v>
      </c>
      <c r="I3" t="n">
        <v>0.9681</v>
      </c>
      <c r="J3" t="n">
        <v>411</v>
      </c>
      <c r="K3" s="16" t="n">
        <v>0.000328</v>
      </c>
      <c r="L3" t="n">
        <v>2.9478</v>
      </c>
      <c r="M3" t="n">
        <v>121</v>
      </c>
      <c r="N3" t="n">
        <v>0.2944</v>
      </c>
      <c r="O3" t="n">
        <v>10.0129</v>
      </c>
    </row>
    <row r="4">
      <c r="A4" t="n">
        <v>2261</v>
      </c>
      <c r="B4" t="inlineStr">
        <is>
          <t>Telecom</t>
        </is>
      </c>
      <c r="C4" t="n">
        <v>5</v>
      </c>
      <c r="D4" t="n">
        <v>2159708</v>
      </c>
      <c r="E4" s="14" t="n">
        <v>0.4762</v>
      </c>
      <c r="F4" t="n">
        <v>1029884</v>
      </c>
      <c r="G4" t="n">
        <v>902.75</v>
      </c>
      <c r="H4" s="14" t="n">
        <v>0.2122</v>
      </c>
      <c r="I4" t="n">
        <v>0.8766</v>
      </c>
      <c r="J4" t="n">
        <v>304</v>
      </c>
      <c r="K4" s="16" t="n">
        <v>0.000295</v>
      </c>
      <c r="L4" t="n">
        <v>2.9696</v>
      </c>
      <c r="M4" t="n">
        <v>0</v>
      </c>
    </row>
    <row r="5">
      <c r="A5" t="n">
        <v>2997</v>
      </c>
      <c r="B5" t="inlineStr">
        <is>
          <t>Mobile app install</t>
        </is>
      </c>
      <c r="C5" t="n">
        <v>5</v>
      </c>
      <c r="D5" t="n">
        <v>1017927</v>
      </c>
      <c r="E5" s="14" t="n">
        <v>0.4591</v>
      </c>
      <c r="F5" t="n">
        <v>467421</v>
      </c>
      <c r="G5" t="n">
        <v>282.42</v>
      </c>
      <c r="H5" s="14" t="n">
        <v>0.0664</v>
      </c>
      <c r="I5" t="n">
        <v>0.6042</v>
      </c>
      <c r="J5" t="n">
        <v>1917</v>
      </c>
      <c r="K5" s="16" t="n">
        <v>0.004101</v>
      </c>
      <c r="L5" t="n">
        <v>0.1473</v>
      </c>
      <c r="M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2" customWidth="1" min="4" max="4"/>
    <col width="15" customWidth="1" min="5" max="5"/>
    <col width="12" customWidth="1" min="6" max="6"/>
    <col width="15" customWidth="1" min="7" max="7"/>
    <col width="26" customWidth="1" min="8" max="8"/>
    <col width="12" customWidth="1" min="9" max="9"/>
    <col width="12" customWidth="1" min="10" max="10"/>
    <col width="12" customWidth="1" min="11" max="11"/>
    <col width="28" customWidth="1" min="12" max="12"/>
    <col width="12" customWidth="1" min="13" max="13"/>
    <col width="12" customWidth="1" min="14" max="14"/>
    <col width="12" customWidth="1" min="15" max="15"/>
  </cols>
  <sheetData>
    <row r="1">
      <c r="A1" s="12" t="inlineStr">
        <is>
          <t>campaign</t>
        </is>
      </c>
      <c r="B1" s="12" t="inlineStr">
        <is>
          <t>spend_rank</t>
        </is>
      </c>
      <c r="C1" s="12" t="inlineStr">
        <is>
          <t>impressions</t>
        </is>
      </c>
      <c r="D1" s="12" t="inlineStr">
        <is>
          <t>clicks</t>
        </is>
      </c>
      <c r="E1" s="12" t="inlineStr">
        <is>
          <t>conversions</t>
        </is>
      </c>
      <c r="F1" s="12" t="inlineStr">
        <is>
          <t>spend</t>
        </is>
      </c>
      <c r="G1" s="12" t="inlineStr">
        <is>
          <t>spend_share</t>
        </is>
      </c>
      <c r="H1" s="12" t="inlineStr">
        <is>
          <t>cumulative_spend_share</t>
        </is>
      </c>
      <c r="I1" s="12" t="inlineStr">
        <is>
          <t>ctr</t>
        </is>
      </c>
      <c r="J1" s="12" t="inlineStr">
        <is>
          <t>cvr</t>
        </is>
      </c>
      <c r="K1" s="12" t="inlineStr">
        <is>
          <t>cpa</t>
        </is>
      </c>
      <c r="L1" s="12" t="inlineStr">
        <is>
          <t>spend_retention_w4_vs_w1</t>
        </is>
      </c>
      <c r="M1" s="12" t="inlineStr">
        <is>
          <t>spend_w1</t>
        </is>
      </c>
      <c r="N1" s="12" t="inlineStr">
        <is>
          <t>spend_w4</t>
        </is>
      </c>
      <c r="O1" s="12" t="inlineStr">
        <is>
          <t>segment</t>
        </is>
      </c>
    </row>
    <row r="2">
      <c r="A2" t="n">
        <v>15398570</v>
      </c>
      <c r="B2" t="n">
        <v>1</v>
      </c>
      <c r="C2" t="n">
        <v>378464</v>
      </c>
      <c r="D2" t="n">
        <v>135066</v>
      </c>
      <c r="E2" t="n">
        <v>10176</v>
      </c>
      <c r="F2" t="n">
        <v>155.5724</v>
      </c>
      <c r="G2" s="30" t="n">
        <v>0.032214</v>
      </c>
      <c r="H2" s="14" t="n">
        <v>0.0322</v>
      </c>
      <c r="I2" t="n">
        <v>0.356879</v>
      </c>
      <c r="J2" t="n">
        <v>0.07530000000000001</v>
      </c>
      <c r="K2" t="n">
        <v>0.015288</v>
      </c>
      <c r="L2" t="n">
        <v>1.7925</v>
      </c>
      <c r="M2" t="n">
        <v>28.1789</v>
      </c>
      <c r="N2" t="n">
        <v>50.512</v>
      </c>
      <c r="O2" t="inlineStr">
        <is>
          <t>PROTECT</t>
        </is>
      </c>
    </row>
    <row r="3">
      <c r="A3" t="n">
        <v>15184511</v>
      </c>
      <c r="B3" t="n">
        <v>2</v>
      </c>
      <c r="C3" t="n">
        <v>256102</v>
      </c>
      <c r="D3" t="n">
        <v>93175</v>
      </c>
      <c r="E3" t="n">
        <v>18936</v>
      </c>
      <c r="F3" t="n">
        <v>153.8266</v>
      </c>
      <c r="G3" s="30" t="n">
        <v>0.031852</v>
      </c>
      <c r="H3" s="14" t="n">
        <v>0.0641</v>
      </c>
      <c r="I3" t="n">
        <v>0.36382</v>
      </c>
      <c r="J3" t="n">
        <v>0.2032</v>
      </c>
      <c r="K3" t="n">
        <v>0.008123</v>
      </c>
      <c r="L3" t="n">
        <v>1.1657</v>
      </c>
      <c r="M3" t="n">
        <v>31.402</v>
      </c>
      <c r="N3" t="n">
        <v>36.6068</v>
      </c>
      <c r="O3" t="inlineStr">
        <is>
          <t>PROTECT</t>
        </is>
      </c>
    </row>
    <row r="4">
      <c r="A4" t="n">
        <v>5061834</v>
      </c>
      <c r="B4" t="n">
        <v>3</v>
      </c>
      <c r="C4" t="n">
        <v>299755</v>
      </c>
      <c r="D4" t="n">
        <v>85763</v>
      </c>
      <c r="E4" t="n">
        <v>2096</v>
      </c>
      <c r="F4" t="n">
        <v>141.2444</v>
      </c>
      <c r="G4" s="30" t="n">
        <v>0.029247</v>
      </c>
      <c r="H4" s="14" t="n">
        <v>0.09329999999999999</v>
      </c>
      <c r="I4" t="n">
        <v>0.28611</v>
      </c>
      <c r="J4" t="n">
        <v>0.0244</v>
      </c>
      <c r="K4" t="n">
        <v>0.067388</v>
      </c>
      <c r="L4" t="n">
        <v>0.7393999999999999</v>
      </c>
      <c r="M4" t="n">
        <v>39.1161</v>
      </c>
      <c r="N4" t="n">
        <v>28.923</v>
      </c>
      <c r="O4" t="inlineStr">
        <is>
          <t>FIX</t>
        </is>
      </c>
    </row>
    <row r="5">
      <c r="A5" t="n">
        <v>10341182</v>
      </c>
      <c r="B5" t="n">
        <v>4</v>
      </c>
      <c r="C5" t="n">
        <v>437385</v>
      </c>
      <c r="D5" t="n">
        <v>194847</v>
      </c>
      <c r="E5" t="n">
        <v>25702</v>
      </c>
      <c r="F5" t="n">
        <v>139.1625</v>
      </c>
      <c r="G5" s="30" t="n">
        <v>0.028816</v>
      </c>
      <c r="H5" s="14" t="n">
        <v>0.1221</v>
      </c>
      <c r="I5" t="n">
        <v>0.445482</v>
      </c>
      <c r="J5" t="n">
        <v>0.1319</v>
      </c>
      <c r="K5" t="n">
        <v>0.005414</v>
      </c>
      <c r="L5" t="n">
        <v>0.947</v>
      </c>
      <c r="M5" t="n">
        <v>31.0491</v>
      </c>
      <c r="N5" t="n">
        <v>29.4035</v>
      </c>
      <c r="O5" t="inlineStr">
        <is>
          <t>PROTECT</t>
        </is>
      </c>
    </row>
    <row r="6">
      <c r="A6" t="n">
        <v>32368244</v>
      </c>
      <c r="B6" t="n">
        <v>5</v>
      </c>
      <c r="C6" t="n">
        <v>161056</v>
      </c>
      <c r="D6" t="n">
        <v>77584</v>
      </c>
      <c r="E6" t="n">
        <v>21946</v>
      </c>
      <c r="F6" t="n">
        <v>138.0964</v>
      </c>
      <c r="G6" s="30" t="n">
        <v>0.028595</v>
      </c>
      <c r="H6" s="14" t="n">
        <v>0.1507</v>
      </c>
      <c r="I6" t="n">
        <v>0.481721</v>
      </c>
      <c r="J6" t="n">
        <v>0.2829</v>
      </c>
      <c r="K6" t="n">
        <v>0.006293</v>
      </c>
      <c r="L6" t="n">
        <v>0.7241</v>
      </c>
      <c r="M6" t="n">
        <v>37.9513</v>
      </c>
      <c r="N6" t="n">
        <v>27.48</v>
      </c>
      <c r="O6" t="inlineStr">
        <is>
          <t>PROTECT</t>
        </is>
      </c>
    </row>
    <row r="7">
      <c r="A7" t="n">
        <v>29427842</v>
      </c>
      <c r="B7" t="n">
        <v>6</v>
      </c>
      <c r="C7" t="n">
        <v>239272</v>
      </c>
      <c r="D7" t="n">
        <v>79009</v>
      </c>
      <c r="E7" t="n">
        <v>7070</v>
      </c>
      <c r="F7" t="n">
        <v>131.0925</v>
      </c>
      <c r="G7" s="30" t="n">
        <v>0.027145</v>
      </c>
      <c r="H7" s="14" t="n">
        <v>0.1779</v>
      </c>
      <c r="I7" t="n">
        <v>0.330206</v>
      </c>
      <c r="J7" t="n">
        <v>0.0895</v>
      </c>
      <c r="K7" t="n">
        <v>0.018542</v>
      </c>
      <c r="L7" t="n">
        <v>1.1765</v>
      </c>
      <c r="M7" t="n">
        <v>23.5932</v>
      </c>
      <c r="N7" t="n">
        <v>27.7576</v>
      </c>
      <c r="O7" t="inlineStr">
        <is>
          <t>FIX</t>
        </is>
      </c>
    </row>
    <row r="8">
      <c r="A8" t="n">
        <v>30491418</v>
      </c>
      <c r="B8" t="n">
        <v>7</v>
      </c>
      <c r="C8" t="n">
        <v>186644</v>
      </c>
      <c r="D8" t="n">
        <v>72873</v>
      </c>
      <c r="E8" t="n">
        <v>3842</v>
      </c>
      <c r="F8" t="n">
        <v>119.0515</v>
      </c>
      <c r="G8" s="30" t="n">
        <v>0.024652</v>
      </c>
      <c r="H8" s="14" t="n">
        <v>0.2025</v>
      </c>
      <c r="I8" t="n">
        <v>0.390438</v>
      </c>
      <c r="J8" t="n">
        <v>0.0527</v>
      </c>
      <c r="K8" t="n">
        <v>0.030987</v>
      </c>
      <c r="L8" t="n">
        <v>0.5931999999999999</v>
      </c>
      <c r="M8" t="n">
        <v>39.0217</v>
      </c>
      <c r="N8" t="n">
        <v>23.1461</v>
      </c>
      <c r="O8" t="inlineStr">
        <is>
          <t>FIX</t>
        </is>
      </c>
    </row>
    <row r="9">
      <c r="A9" t="n">
        <v>28351001</v>
      </c>
      <c r="B9" t="n">
        <v>8</v>
      </c>
      <c r="C9" t="n">
        <v>222470</v>
      </c>
      <c r="D9" t="n">
        <v>138590</v>
      </c>
      <c r="E9" t="n">
        <v>6620</v>
      </c>
      <c r="F9" t="n">
        <v>103.7009</v>
      </c>
      <c r="G9" s="30" t="n">
        <v>0.021473</v>
      </c>
      <c r="H9" s="14" t="n">
        <v>0.224</v>
      </c>
      <c r="I9" t="n">
        <v>0.62296</v>
      </c>
      <c r="J9" t="n">
        <v>0.0478</v>
      </c>
      <c r="K9" t="n">
        <v>0.015665</v>
      </c>
      <c r="L9" t="n">
        <v>1.1033</v>
      </c>
      <c r="M9" t="n">
        <v>22.5628</v>
      </c>
      <c r="N9" t="n">
        <v>24.8946</v>
      </c>
      <c r="O9" t="inlineStr">
        <is>
          <t>PROTECT</t>
        </is>
      </c>
    </row>
    <row r="10">
      <c r="A10" t="n">
        <v>18975823</v>
      </c>
      <c r="B10" t="n">
        <v>9</v>
      </c>
      <c r="C10" t="n">
        <v>217646</v>
      </c>
      <c r="D10" t="n">
        <v>100798</v>
      </c>
      <c r="E10" t="n">
        <v>7669</v>
      </c>
      <c r="F10" t="n">
        <v>82.1553</v>
      </c>
      <c r="G10" s="30" t="n">
        <v>0.017012</v>
      </c>
      <c r="H10" s="14" t="n">
        <v>0.241</v>
      </c>
      <c r="I10" t="n">
        <v>0.463128</v>
      </c>
      <c r="J10" t="n">
        <v>0.0761</v>
      </c>
      <c r="K10" t="n">
        <v>0.010713</v>
      </c>
      <c r="L10" t="n">
        <v>1.6875</v>
      </c>
      <c r="M10" t="n">
        <v>13.3475</v>
      </c>
      <c r="N10" t="n">
        <v>22.5238</v>
      </c>
      <c r="O10" t="inlineStr">
        <is>
          <t>PROTECT</t>
        </is>
      </c>
    </row>
    <row r="11">
      <c r="A11" t="n">
        <v>17686799</v>
      </c>
      <c r="B11" t="n">
        <v>10</v>
      </c>
      <c r="C11" t="n">
        <v>381084</v>
      </c>
      <c r="D11" t="n">
        <v>112964</v>
      </c>
      <c r="E11" t="n">
        <v>5090</v>
      </c>
      <c r="F11" t="n">
        <v>79.4298</v>
      </c>
      <c r="G11" s="30" t="n">
        <v>0.016447</v>
      </c>
      <c r="H11" s="14" t="n">
        <v>0.2575</v>
      </c>
      <c r="I11" t="n">
        <v>0.296428</v>
      </c>
      <c r="J11" t="n">
        <v>0.0451</v>
      </c>
      <c r="K11" t="n">
        <v>0.015605</v>
      </c>
      <c r="L11" t="n">
        <v>1.1697</v>
      </c>
      <c r="M11" t="n">
        <v>16.9347</v>
      </c>
      <c r="N11" t="n">
        <v>19.8079</v>
      </c>
      <c r="O11" t="inlineStr">
        <is>
          <t>PROTECT</t>
        </is>
      </c>
    </row>
    <row r="12">
      <c r="A12" t="n">
        <v>14661605</v>
      </c>
      <c r="B12" t="n">
        <v>11</v>
      </c>
      <c r="C12" t="n">
        <v>125045</v>
      </c>
      <c r="D12" t="n">
        <v>41244</v>
      </c>
      <c r="E12" t="n">
        <v>4262</v>
      </c>
      <c r="F12" t="n">
        <v>78.5231</v>
      </c>
      <c r="G12" s="30" t="n">
        <v>0.01626</v>
      </c>
      <c r="H12" s="14" t="n">
        <v>0.2737</v>
      </c>
      <c r="I12" t="n">
        <v>0.329833</v>
      </c>
      <c r="J12" t="n">
        <v>0.1033</v>
      </c>
      <c r="K12" t="n">
        <v>0.018424</v>
      </c>
      <c r="L12" t="n">
        <v>0.9611</v>
      </c>
      <c r="M12" t="n">
        <v>14.4363</v>
      </c>
      <c r="N12" t="n">
        <v>13.8747</v>
      </c>
      <c r="O12" t="inlineStr">
        <is>
          <t>FIX</t>
        </is>
      </c>
    </row>
    <row r="13">
      <c r="A13" t="n">
        <v>6686701</v>
      </c>
      <c r="B13" t="n">
        <v>12</v>
      </c>
      <c r="C13" t="n">
        <v>194059</v>
      </c>
      <c r="D13" t="n">
        <v>76239</v>
      </c>
      <c r="E13" t="n">
        <v>4336</v>
      </c>
      <c r="F13" t="n">
        <v>68.8747</v>
      </c>
      <c r="G13" s="30" t="n">
        <v>0.014262</v>
      </c>
      <c r="H13" s="14" t="n">
        <v>0.288</v>
      </c>
      <c r="I13" t="n">
        <v>0.392865</v>
      </c>
      <c r="J13" t="n">
        <v>0.0569</v>
      </c>
      <c r="K13" t="n">
        <v>0.015884</v>
      </c>
      <c r="L13" t="n">
        <v>5.3204</v>
      </c>
      <c r="M13" t="n">
        <v>6.9378</v>
      </c>
      <c r="N13" t="n">
        <v>36.9119</v>
      </c>
      <c r="O13" t="inlineStr">
        <is>
          <t>PROTECT</t>
        </is>
      </c>
    </row>
    <row r="14">
      <c r="A14" t="n">
        <v>23852329</v>
      </c>
      <c r="B14" t="n">
        <v>13</v>
      </c>
      <c r="C14" t="n">
        <v>112773</v>
      </c>
      <c r="D14" t="n">
        <v>36213</v>
      </c>
      <c r="E14" t="n">
        <v>1079</v>
      </c>
      <c r="F14" t="n">
        <v>54.4383</v>
      </c>
      <c r="G14" s="30" t="n">
        <v>0.011272</v>
      </c>
      <c r="H14" s="14" t="n">
        <v>0.2992</v>
      </c>
      <c r="I14" t="n">
        <v>0.321114</v>
      </c>
      <c r="J14" t="n">
        <v>0.0298</v>
      </c>
      <c r="K14" t="n">
        <v>0.050453</v>
      </c>
      <c r="L14" t="n">
        <v>0.6889999999999999</v>
      </c>
      <c r="M14" t="n">
        <v>11.1233</v>
      </c>
      <c r="N14" t="n">
        <v>7.6644</v>
      </c>
      <c r="O14" t="inlineStr">
        <is>
          <t>FIX</t>
        </is>
      </c>
    </row>
    <row r="15">
      <c r="A15" t="n">
        <v>14235907</v>
      </c>
      <c r="B15" t="n">
        <v>14</v>
      </c>
      <c r="C15" t="n">
        <v>63451</v>
      </c>
      <c r="D15" t="n">
        <v>26621</v>
      </c>
      <c r="E15" t="n">
        <v>1613</v>
      </c>
      <c r="F15" t="n">
        <v>51.1633</v>
      </c>
      <c r="G15" s="30" t="n">
        <v>0.010594</v>
      </c>
      <c r="H15" s="14" t="n">
        <v>0.3098</v>
      </c>
      <c r="I15" t="n">
        <v>0.419552</v>
      </c>
      <c r="J15" t="n">
        <v>0.0606</v>
      </c>
      <c r="K15" t="n">
        <v>0.031719</v>
      </c>
      <c r="L15" t="n">
        <v>1.02</v>
      </c>
      <c r="M15" t="n">
        <v>13.1259</v>
      </c>
      <c r="N15" t="n">
        <v>13.3887</v>
      </c>
      <c r="O15" t="inlineStr">
        <is>
          <t>FIX</t>
        </is>
      </c>
    </row>
    <row r="16">
      <c r="A16" t="n">
        <v>7061828</v>
      </c>
      <c r="B16" t="n">
        <v>15</v>
      </c>
      <c r="C16" t="n">
        <v>143611</v>
      </c>
      <c r="D16" t="n">
        <v>43944</v>
      </c>
      <c r="E16" t="n">
        <v>3143</v>
      </c>
      <c r="F16" t="n">
        <v>49.2221</v>
      </c>
      <c r="G16" s="30" t="n">
        <v>0.010192</v>
      </c>
      <c r="H16" s="14" t="n">
        <v>0.32</v>
      </c>
      <c r="I16" t="n">
        <v>0.305993</v>
      </c>
      <c r="J16" t="n">
        <v>0.07149999999999999</v>
      </c>
      <c r="K16" t="n">
        <v>0.015661</v>
      </c>
      <c r="L16" t="n">
        <v>0.9911</v>
      </c>
      <c r="M16" t="n">
        <v>11.4032</v>
      </c>
      <c r="N16" t="n">
        <v>11.302</v>
      </c>
      <c r="O16" t="inlineStr">
        <is>
          <t>PROTECT</t>
        </is>
      </c>
    </row>
    <row r="17">
      <c r="A17" t="n">
        <v>30368132</v>
      </c>
      <c r="B17" t="n">
        <v>16</v>
      </c>
      <c r="C17" t="n">
        <v>71181</v>
      </c>
      <c r="D17" t="n">
        <v>23971</v>
      </c>
      <c r="E17" t="n">
        <v>1505</v>
      </c>
      <c r="F17" t="n">
        <v>48.5982</v>
      </c>
      <c r="G17" s="30" t="n">
        <v>0.010063</v>
      </c>
      <c r="H17" s="14" t="n">
        <v>0.3301</v>
      </c>
      <c r="I17" t="n">
        <v>0.336761</v>
      </c>
      <c r="J17" t="n">
        <v>0.06279999999999999</v>
      </c>
      <c r="K17" t="n">
        <v>0.032291</v>
      </c>
      <c r="L17" t="n">
        <v>1.7909</v>
      </c>
      <c r="M17" t="n">
        <v>7.3558</v>
      </c>
      <c r="N17" t="n">
        <v>13.1734</v>
      </c>
      <c r="O17" t="inlineStr">
        <is>
          <t>FIX</t>
        </is>
      </c>
    </row>
    <row r="18">
      <c r="A18" t="n">
        <v>14121532</v>
      </c>
      <c r="B18" t="n">
        <v>17</v>
      </c>
      <c r="C18" t="n">
        <v>94354</v>
      </c>
      <c r="D18" t="n">
        <v>38950</v>
      </c>
      <c r="E18" t="n">
        <v>3923</v>
      </c>
      <c r="F18" t="n">
        <v>47.7938</v>
      </c>
      <c r="G18" s="30" t="n">
        <v>0.009897</v>
      </c>
      <c r="H18" s="14" t="n">
        <v>0.34</v>
      </c>
      <c r="I18" t="n">
        <v>0.412807</v>
      </c>
      <c r="J18" t="n">
        <v>0.1007</v>
      </c>
      <c r="K18" t="n">
        <v>0.012183</v>
      </c>
      <c r="L18" t="n">
        <v>0.8363</v>
      </c>
      <c r="M18" t="n">
        <v>12.7787</v>
      </c>
      <c r="N18" t="n">
        <v>10.6872</v>
      </c>
      <c r="O18" t="inlineStr">
        <is>
          <t>PROTECT</t>
        </is>
      </c>
    </row>
    <row r="19">
      <c r="A19" t="n">
        <v>31772643</v>
      </c>
      <c r="B19" t="n">
        <v>18</v>
      </c>
      <c r="C19" t="n">
        <v>195759</v>
      </c>
      <c r="D19" t="n">
        <v>90476</v>
      </c>
      <c r="E19" t="n">
        <v>7233</v>
      </c>
      <c r="F19" t="n">
        <v>43.044</v>
      </c>
      <c r="G19" s="30" t="n">
        <v>0.008913000000000001</v>
      </c>
      <c r="H19" s="14" t="n">
        <v>0.3489</v>
      </c>
      <c r="I19" t="n">
        <v>0.462181</v>
      </c>
      <c r="J19" t="n">
        <v>0.0799</v>
      </c>
      <c r="K19" t="n">
        <v>0.005951</v>
      </c>
      <c r="L19" t="n">
        <v>0.8921</v>
      </c>
      <c r="M19" t="n">
        <v>10.715</v>
      </c>
      <c r="N19" t="n">
        <v>9.5593</v>
      </c>
      <c r="O19" t="inlineStr">
        <is>
          <t>PROTECT</t>
        </is>
      </c>
    </row>
    <row r="20">
      <c r="A20" t="n">
        <v>19129839</v>
      </c>
      <c r="B20" t="n">
        <v>19</v>
      </c>
      <c r="C20" t="n">
        <v>90154</v>
      </c>
      <c r="D20" t="n">
        <v>27237</v>
      </c>
      <c r="E20" t="n">
        <v>1659</v>
      </c>
      <c r="F20" t="n">
        <v>41.1702</v>
      </c>
      <c r="G20" s="30" t="n">
        <v>0.008525</v>
      </c>
      <c r="H20" s="14" t="n">
        <v>0.3574</v>
      </c>
      <c r="I20" t="n">
        <v>0.302116</v>
      </c>
      <c r="J20" t="n">
        <v>0.0609</v>
      </c>
      <c r="K20" t="n">
        <v>0.024816</v>
      </c>
      <c r="L20" t="n">
        <v>0.6875</v>
      </c>
      <c r="M20" t="n">
        <v>12.4644</v>
      </c>
      <c r="N20" t="n">
        <v>8.5687</v>
      </c>
      <c r="O20" t="inlineStr">
        <is>
          <t>FIX</t>
        </is>
      </c>
    </row>
    <row r="21">
      <c r="A21" t="n">
        <v>7121544</v>
      </c>
      <c r="B21" t="n">
        <v>20</v>
      </c>
      <c r="C21" t="n">
        <v>126687</v>
      </c>
      <c r="D21" t="n">
        <v>46127</v>
      </c>
      <c r="E21" t="n">
        <v>2224</v>
      </c>
      <c r="F21" t="n">
        <v>39.5685</v>
      </c>
      <c r="G21" s="30" t="n">
        <v>0.008193000000000001</v>
      </c>
      <c r="H21" s="14" t="n">
        <v>0.3656</v>
      </c>
      <c r="I21" t="n">
        <v>0.364102</v>
      </c>
      <c r="J21" t="n">
        <v>0.0482</v>
      </c>
      <c r="K21" t="n">
        <v>0.017792</v>
      </c>
      <c r="L21" t="n">
        <v>1.0048</v>
      </c>
      <c r="M21" t="n">
        <v>7.5663</v>
      </c>
      <c r="N21" t="n">
        <v>7.6024</v>
      </c>
      <c r="O21" t="inlineStr">
        <is>
          <t>PROTECT</t>
        </is>
      </c>
    </row>
    <row r="22">
      <c r="A22" t="n">
        <v>17321082</v>
      </c>
      <c r="B22" t="n">
        <v>21</v>
      </c>
      <c r="C22" t="n">
        <v>90065</v>
      </c>
      <c r="D22" t="n">
        <v>33989</v>
      </c>
      <c r="E22" t="n">
        <v>2513</v>
      </c>
      <c r="F22" t="n">
        <v>36.7415</v>
      </c>
      <c r="G22" s="30" t="n">
        <v>0.007608</v>
      </c>
      <c r="H22" s="14" t="n">
        <v>0.3732</v>
      </c>
      <c r="I22" t="n">
        <v>0.377383</v>
      </c>
      <c r="J22" t="n">
        <v>0.07389999999999999</v>
      </c>
      <c r="K22" t="n">
        <v>0.014621</v>
      </c>
      <c r="L22" t="n">
        <v>0.9102</v>
      </c>
      <c r="M22" t="n">
        <v>8.099399999999999</v>
      </c>
      <c r="N22" t="n">
        <v>7.3722</v>
      </c>
      <c r="O22" t="inlineStr">
        <is>
          <t>PROTECT</t>
        </is>
      </c>
    </row>
    <row r="23">
      <c r="A23" t="n">
        <v>28739284</v>
      </c>
      <c r="B23" t="n">
        <v>22</v>
      </c>
      <c r="C23" t="n">
        <v>61486</v>
      </c>
      <c r="D23" t="n">
        <v>22298</v>
      </c>
      <c r="E23" t="n">
        <v>1499</v>
      </c>
      <c r="F23" t="n">
        <v>36.5789</v>
      </c>
      <c r="G23" s="30" t="n">
        <v>0.007574</v>
      </c>
      <c r="H23" s="14" t="n">
        <v>0.3808</v>
      </c>
      <c r="I23" t="n">
        <v>0.362652</v>
      </c>
      <c r="J23" t="n">
        <v>0.0672</v>
      </c>
      <c r="K23" t="n">
        <v>0.024402</v>
      </c>
      <c r="L23" t="n">
        <v>1.1475</v>
      </c>
      <c r="M23" t="n">
        <v>8.110200000000001</v>
      </c>
      <c r="N23" t="n">
        <v>9.3062</v>
      </c>
      <c r="O23" t="inlineStr">
        <is>
          <t>FIX</t>
        </is>
      </c>
    </row>
    <row r="24">
      <c r="A24" t="n">
        <v>19530182</v>
      </c>
      <c r="B24" t="n">
        <v>23</v>
      </c>
      <c r="C24" t="n">
        <v>107844</v>
      </c>
      <c r="D24" t="n">
        <v>49832</v>
      </c>
      <c r="E24" t="n">
        <v>771</v>
      </c>
      <c r="F24" t="n">
        <v>35.3194</v>
      </c>
      <c r="G24" s="30" t="n">
        <v>0.007313</v>
      </c>
      <c r="H24" s="14" t="n">
        <v>0.3881</v>
      </c>
      <c r="I24" t="n">
        <v>0.462075</v>
      </c>
      <c r="J24" t="n">
        <v>0.0155</v>
      </c>
      <c r="K24" t="n">
        <v>0.04581</v>
      </c>
      <c r="L24" t="n">
        <v>0.8315</v>
      </c>
      <c r="M24" t="n">
        <v>8.3004</v>
      </c>
      <c r="N24" t="n">
        <v>6.9022</v>
      </c>
      <c r="O24" t="inlineStr">
        <is>
          <t>FIX</t>
        </is>
      </c>
    </row>
    <row r="25">
      <c r="A25" t="n">
        <v>12121528</v>
      </c>
      <c r="B25" t="n">
        <v>24</v>
      </c>
      <c r="C25" t="n">
        <v>53027</v>
      </c>
      <c r="D25" t="n">
        <v>20952</v>
      </c>
      <c r="E25" t="n">
        <v>2167</v>
      </c>
      <c r="F25" t="n">
        <v>34.2437</v>
      </c>
      <c r="G25" s="30" t="n">
        <v>0.007091</v>
      </c>
      <c r="H25" s="14" t="n">
        <v>0.3952</v>
      </c>
      <c r="I25" t="n">
        <v>0.395119</v>
      </c>
      <c r="J25" t="n">
        <v>0.1034</v>
      </c>
      <c r="K25" t="n">
        <v>0.015802</v>
      </c>
      <c r="L25" t="n">
        <v>0.6993</v>
      </c>
      <c r="M25" t="n">
        <v>10.3769</v>
      </c>
      <c r="N25" t="n">
        <v>7.2566</v>
      </c>
      <c r="O25" t="inlineStr">
        <is>
          <t>PROTECT</t>
        </is>
      </c>
    </row>
    <row r="26">
      <c r="A26" t="n">
        <v>2828357</v>
      </c>
      <c r="B26" t="n">
        <v>25</v>
      </c>
      <c r="C26" t="n">
        <v>73432</v>
      </c>
      <c r="D26" t="n">
        <v>26019</v>
      </c>
      <c r="E26" t="n">
        <v>414</v>
      </c>
      <c r="F26" t="n">
        <v>30.0312</v>
      </c>
      <c r="G26" s="30" t="n">
        <v>0.006218</v>
      </c>
      <c r="H26" s="14" t="n">
        <v>0.4014</v>
      </c>
      <c r="I26" t="n">
        <v>0.354328</v>
      </c>
      <c r="J26" t="n">
        <v>0.0159</v>
      </c>
      <c r="K26" t="n">
        <v>0.07253900000000001</v>
      </c>
      <c r="L26" t="n">
        <v>1.9799</v>
      </c>
      <c r="M26" t="n">
        <v>3.8214</v>
      </c>
      <c r="N26" t="n">
        <v>7.5659</v>
      </c>
      <c r="O26" t="inlineStr">
        <is>
          <t>FIX</t>
        </is>
      </c>
    </row>
    <row r="27">
      <c r="A27" t="n">
        <v>15746419</v>
      </c>
      <c r="B27" t="n">
        <v>26</v>
      </c>
      <c r="C27" t="n">
        <v>45738</v>
      </c>
      <c r="D27" t="n">
        <v>18503</v>
      </c>
      <c r="E27" t="n">
        <v>1313</v>
      </c>
      <c r="F27" t="n">
        <v>28.4602</v>
      </c>
      <c r="G27" s="30" t="n">
        <v>0.005893</v>
      </c>
      <c r="H27" s="14" t="n">
        <v>0.4073</v>
      </c>
      <c r="I27" t="n">
        <v>0.404543</v>
      </c>
      <c r="J27" t="n">
        <v>0.07099999999999999</v>
      </c>
      <c r="K27" t="n">
        <v>0.021676</v>
      </c>
      <c r="L27" t="n">
        <v>1.4771</v>
      </c>
      <c r="M27" t="n">
        <v>4.671</v>
      </c>
      <c r="N27" t="n">
        <v>6.8996</v>
      </c>
      <c r="O27" t="inlineStr">
        <is>
          <t>FIX</t>
        </is>
      </c>
    </row>
    <row r="28">
      <c r="A28" t="n">
        <v>30535894</v>
      </c>
      <c r="B28" t="n">
        <v>27</v>
      </c>
      <c r="C28" t="n">
        <v>72504</v>
      </c>
      <c r="D28" t="n">
        <v>37200</v>
      </c>
      <c r="E28" t="n">
        <v>4954</v>
      </c>
      <c r="F28" t="n">
        <v>27.4576</v>
      </c>
      <c r="G28" s="30" t="n">
        <v>0.005686</v>
      </c>
      <c r="H28" s="14" t="n">
        <v>0.413</v>
      </c>
      <c r="I28" t="n">
        <v>0.5130749999999999</v>
      </c>
      <c r="J28" t="n">
        <v>0.1332</v>
      </c>
      <c r="K28" t="n">
        <v>0.005543</v>
      </c>
      <c r="L28" t="n">
        <v>0.7029</v>
      </c>
      <c r="M28" t="n">
        <v>6.6484</v>
      </c>
      <c r="N28" t="n">
        <v>4.6734</v>
      </c>
      <c r="O28" t="inlineStr">
        <is>
          <t>PROTECT</t>
        </is>
      </c>
    </row>
    <row r="29">
      <c r="A29" t="n">
        <v>4869922</v>
      </c>
      <c r="B29" t="n">
        <v>28</v>
      </c>
      <c r="C29" t="n">
        <v>48085</v>
      </c>
      <c r="D29" t="n">
        <v>23125</v>
      </c>
      <c r="E29" t="n">
        <v>2524</v>
      </c>
      <c r="F29" t="n">
        <v>27.3877</v>
      </c>
      <c r="G29" s="30" t="n">
        <v>0.005671</v>
      </c>
      <c r="H29" s="14" t="n">
        <v>0.4187</v>
      </c>
      <c r="I29" t="n">
        <v>0.480919</v>
      </c>
      <c r="J29" t="n">
        <v>0.1091</v>
      </c>
      <c r="K29" t="n">
        <v>0.010851</v>
      </c>
      <c r="L29" t="n">
        <v>0.987</v>
      </c>
      <c r="M29" t="n">
        <v>6.3319</v>
      </c>
      <c r="N29" t="n">
        <v>6.2499</v>
      </c>
      <c r="O29" t="inlineStr">
        <is>
          <t>PROTECT</t>
        </is>
      </c>
    </row>
    <row r="30">
      <c r="A30" t="n">
        <v>3892353</v>
      </c>
      <c r="B30" t="n">
        <v>29</v>
      </c>
      <c r="C30" t="n">
        <v>37167</v>
      </c>
      <c r="D30" t="n">
        <v>13109</v>
      </c>
      <c r="E30" t="n">
        <v>1035</v>
      </c>
      <c r="F30" t="n">
        <v>27.3451</v>
      </c>
      <c r="G30" s="30" t="n">
        <v>0.005662</v>
      </c>
      <c r="H30" s="14" t="n">
        <v>0.4243</v>
      </c>
      <c r="I30" t="n">
        <v>0.352705</v>
      </c>
      <c r="J30" t="n">
        <v>0.079</v>
      </c>
      <c r="K30" t="n">
        <v>0.02642</v>
      </c>
      <c r="L30" t="n">
        <v>1.3564</v>
      </c>
      <c r="M30" t="n">
        <v>3.495</v>
      </c>
      <c r="N30" t="n">
        <v>4.7405</v>
      </c>
      <c r="O30" t="inlineStr">
        <is>
          <t>FIX</t>
        </is>
      </c>
    </row>
    <row r="31">
      <c r="A31" t="n">
        <v>2865314</v>
      </c>
      <c r="B31" t="n">
        <v>30</v>
      </c>
      <c r="C31" t="n">
        <v>77647</v>
      </c>
      <c r="D31" t="n">
        <v>17219</v>
      </c>
      <c r="E31" t="n">
        <v>1006</v>
      </c>
      <c r="F31" t="n">
        <v>26.2643</v>
      </c>
      <c r="G31" s="30" t="n">
        <v>0.005438</v>
      </c>
      <c r="H31" s="14" t="n">
        <v>0.4298</v>
      </c>
      <c r="I31" t="n">
        <v>0.22176</v>
      </c>
      <c r="J31" t="n">
        <v>0.0584</v>
      </c>
      <c r="K31" t="n">
        <v>0.026108</v>
      </c>
      <c r="L31" t="n">
        <v>0.9741</v>
      </c>
      <c r="M31" t="n">
        <v>5.8145</v>
      </c>
      <c r="N31" t="n">
        <v>5.6637</v>
      </c>
      <c r="O31" t="inlineStr">
        <is>
          <t>FIX</t>
        </is>
      </c>
    </row>
    <row r="32">
      <c r="A32" t="n">
        <v>13947795</v>
      </c>
      <c r="B32" t="n">
        <v>31</v>
      </c>
      <c r="C32" t="n">
        <v>57717</v>
      </c>
      <c r="D32" t="n">
        <v>18661</v>
      </c>
      <c r="E32" t="n">
        <v>611</v>
      </c>
      <c r="F32" t="n">
        <v>26.1805</v>
      </c>
      <c r="G32" s="30" t="n">
        <v>0.005421</v>
      </c>
      <c r="H32" s="14" t="n">
        <v>0.4352</v>
      </c>
      <c r="I32" t="n">
        <v>0.323319</v>
      </c>
      <c r="J32" t="n">
        <v>0.0327</v>
      </c>
      <c r="K32" t="n">
        <v>0.042849</v>
      </c>
      <c r="L32" t="n">
        <v>0.7901</v>
      </c>
      <c r="M32" t="n">
        <v>6.953</v>
      </c>
      <c r="N32" t="n">
        <v>5.4933</v>
      </c>
      <c r="O32" t="inlineStr">
        <is>
          <t>FIX</t>
        </is>
      </c>
    </row>
    <row r="33">
      <c r="A33" t="n">
        <v>30801593</v>
      </c>
      <c r="B33" t="n">
        <v>32</v>
      </c>
      <c r="C33" t="n">
        <v>431587</v>
      </c>
      <c r="D33" t="n">
        <v>168971</v>
      </c>
      <c r="E33" t="n">
        <v>9531</v>
      </c>
      <c r="F33" t="n">
        <v>25.5963</v>
      </c>
      <c r="G33" s="30" t="n">
        <v>0.0053</v>
      </c>
      <c r="H33" s="14" t="n">
        <v>0.4405</v>
      </c>
      <c r="I33" t="n">
        <v>0.391511</v>
      </c>
      <c r="J33" t="n">
        <v>0.0564</v>
      </c>
      <c r="K33" t="n">
        <v>0.002686</v>
      </c>
      <c r="L33" t="n">
        <v>0.4342</v>
      </c>
      <c r="M33" t="n">
        <v>8.761699999999999</v>
      </c>
      <c r="N33" t="n">
        <v>3.8041</v>
      </c>
      <c r="O33" t="inlineStr">
        <is>
          <t>PROTECT</t>
        </is>
      </c>
    </row>
    <row r="34">
      <c r="A34" t="n">
        <v>16823030</v>
      </c>
      <c r="B34" t="n">
        <v>33</v>
      </c>
      <c r="C34" t="n">
        <v>92453</v>
      </c>
      <c r="D34" t="n">
        <v>31753</v>
      </c>
      <c r="E34" t="n">
        <v>1383</v>
      </c>
      <c r="F34" t="n">
        <v>24.7476</v>
      </c>
      <c r="G34" s="30" t="n">
        <v>0.005124</v>
      </c>
      <c r="H34" s="14" t="n">
        <v>0.4456</v>
      </c>
      <c r="I34" t="n">
        <v>0.34345</v>
      </c>
      <c r="J34" t="n">
        <v>0.0436</v>
      </c>
      <c r="K34" t="n">
        <v>0.017894</v>
      </c>
      <c r="L34" t="n">
        <v>1.0124</v>
      </c>
      <c r="M34" t="n">
        <v>5.3296</v>
      </c>
      <c r="N34" t="n">
        <v>5.3958</v>
      </c>
      <c r="O34" t="inlineStr">
        <is>
          <t>PROTECT</t>
        </is>
      </c>
    </row>
    <row r="35">
      <c r="A35" t="n">
        <v>12843318</v>
      </c>
      <c r="B35" t="n">
        <v>34</v>
      </c>
      <c r="C35" t="n">
        <v>54739</v>
      </c>
      <c r="D35" t="n">
        <v>28323</v>
      </c>
      <c r="E35" t="n">
        <v>2517</v>
      </c>
      <c r="F35" t="n">
        <v>23.9958</v>
      </c>
      <c r="G35" s="30" t="n">
        <v>0.004969</v>
      </c>
      <c r="H35" s="14" t="n">
        <v>0.4506</v>
      </c>
      <c r="I35" t="n">
        <v>0.517419</v>
      </c>
      <c r="J35" t="n">
        <v>0.08890000000000001</v>
      </c>
      <c r="K35" t="n">
        <v>0.009533</v>
      </c>
      <c r="L35" t="n">
        <v>0.9908</v>
      </c>
      <c r="M35" t="n">
        <v>5.5699</v>
      </c>
      <c r="N35" t="n">
        <v>5.5186</v>
      </c>
      <c r="O35" t="inlineStr">
        <is>
          <t>PROTECT</t>
        </is>
      </c>
    </row>
    <row r="36">
      <c r="A36" t="n">
        <v>24378636</v>
      </c>
      <c r="B36" t="n">
        <v>35</v>
      </c>
      <c r="C36" t="n">
        <v>123950</v>
      </c>
      <c r="D36" t="n">
        <v>38110</v>
      </c>
      <c r="E36" t="n">
        <v>2303</v>
      </c>
      <c r="F36" t="n">
        <v>23.874</v>
      </c>
      <c r="G36" s="30" t="n">
        <v>0.004944</v>
      </c>
      <c r="H36" s="14" t="n">
        <v>0.4555</v>
      </c>
      <c r="I36" t="n">
        <v>0.307463</v>
      </c>
      <c r="J36" t="n">
        <v>0.0604</v>
      </c>
      <c r="K36" t="n">
        <v>0.010366</v>
      </c>
      <c r="L36" t="n">
        <v>0.8672</v>
      </c>
      <c r="M36" t="n">
        <v>6.0053</v>
      </c>
      <c r="N36" t="n">
        <v>5.2079</v>
      </c>
      <c r="O36" t="inlineStr">
        <is>
          <t>PROTECT</t>
        </is>
      </c>
    </row>
    <row r="37">
      <c r="A37" t="n">
        <v>14458654</v>
      </c>
      <c r="B37" t="n">
        <v>36</v>
      </c>
      <c r="C37" t="n">
        <v>36130</v>
      </c>
      <c r="D37" t="n">
        <v>23043</v>
      </c>
      <c r="E37" t="n">
        <v>6130</v>
      </c>
      <c r="F37" t="n">
        <v>23.8476</v>
      </c>
      <c r="G37" s="30" t="n">
        <v>0.004938</v>
      </c>
      <c r="H37" s="14" t="n">
        <v>0.4605</v>
      </c>
      <c r="I37" t="n">
        <v>0.63778</v>
      </c>
      <c r="J37" t="n">
        <v>0.266</v>
      </c>
      <c r="K37" t="n">
        <v>0.00389</v>
      </c>
      <c r="L37" t="n">
        <v>0.8178</v>
      </c>
      <c r="M37" t="n">
        <v>6.6191</v>
      </c>
      <c r="N37" t="n">
        <v>5.4128</v>
      </c>
      <c r="O37" t="inlineStr">
        <is>
          <t>PROTECT</t>
        </is>
      </c>
    </row>
    <row r="38">
      <c r="A38" t="n">
        <v>28795042</v>
      </c>
      <c r="B38" t="n">
        <v>37</v>
      </c>
      <c r="C38" t="n">
        <v>135054</v>
      </c>
      <c r="D38" t="n">
        <v>38564</v>
      </c>
      <c r="E38" t="n">
        <v>2515</v>
      </c>
      <c r="F38" t="n">
        <v>23.6114</v>
      </c>
      <c r="G38" s="30" t="n">
        <v>0.004889</v>
      </c>
      <c r="H38" s="14" t="n">
        <v>0.4654</v>
      </c>
      <c r="I38" t="n">
        <v>0.285545</v>
      </c>
      <c r="J38" t="n">
        <v>0.06519999999999999</v>
      </c>
      <c r="K38" t="n">
        <v>0.009388000000000001</v>
      </c>
      <c r="L38" t="n">
        <v>0.914</v>
      </c>
      <c r="M38" t="n">
        <v>5.5985</v>
      </c>
      <c r="N38" t="n">
        <v>5.1171</v>
      </c>
      <c r="O38" t="inlineStr">
        <is>
          <t>PROTECT</t>
        </is>
      </c>
    </row>
    <row r="39">
      <c r="A39" t="n">
        <v>26998428</v>
      </c>
      <c r="B39" t="n">
        <v>38</v>
      </c>
      <c r="C39" t="n">
        <v>80051</v>
      </c>
      <c r="D39" t="n">
        <v>26706</v>
      </c>
      <c r="E39" t="n">
        <v>360</v>
      </c>
      <c r="F39" t="n">
        <v>23.4064</v>
      </c>
      <c r="G39" s="30" t="n">
        <v>0.004847</v>
      </c>
      <c r="H39" s="14" t="n">
        <v>0.4702</v>
      </c>
      <c r="I39" t="n">
        <v>0.333612</v>
      </c>
      <c r="J39" t="n">
        <v>0.0135</v>
      </c>
      <c r="K39" t="n">
        <v>0.06501800000000001</v>
      </c>
      <c r="L39" t="n">
        <v>0.805</v>
      </c>
      <c r="M39" t="n">
        <v>5.9855</v>
      </c>
      <c r="N39" t="n">
        <v>4.8183</v>
      </c>
      <c r="O39" t="inlineStr">
        <is>
          <t>FIX</t>
        </is>
      </c>
    </row>
    <row r="40">
      <c r="A40" t="n">
        <v>6886817</v>
      </c>
      <c r="B40" t="n">
        <v>39</v>
      </c>
      <c r="C40" t="n">
        <v>65388</v>
      </c>
      <c r="D40" t="n">
        <v>29746</v>
      </c>
      <c r="E40" t="n">
        <v>1274</v>
      </c>
      <c r="F40" t="n">
        <v>23.1247</v>
      </c>
      <c r="G40" s="30" t="n">
        <v>0.004788</v>
      </c>
      <c r="H40" s="14" t="n">
        <v>0.475</v>
      </c>
      <c r="I40" t="n">
        <v>0.454915</v>
      </c>
      <c r="J40" t="n">
        <v>0.0428</v>
      </c>
      <c r="K40" t="n">
        <v>0.018151</v>
      </c>
      <c r="L40" t="n">
        <v>2.798</v>
      </c>
      <c r="M40" t="n">
        <v>3.3136</v>
      </c>
      <c r="N40" t="n">
        <v>9.2713</v>
      </c>
      <c r="O40" t="inlineStr">
        <is>
          <t>FIX</t>
        </is>
      </c>
    </row>
    <row r="41">
      <c r="A41" t="n">
        <v>6686704</v>
      </c>
      <c r="B41" t="n">
        <v>40</v>
      </c>
      <c r="C41" t="n">
        <v>55657</v>
      </c>
      <c r="D41" t="n">
        <v>19330</v>
      </c>
      <c r="E41" t="n">
        <v>1255</v>
      </c>
      <c r="F41" t="n">
        <v>22.2998</v>
      </c>
      <c r="G41" s="30" t="n">
        <v>0.004618</v>
      </c>
      <c r="H41" s="14" t="n">
        <v>0.4796</v>
      </c>
      <c r="I41" t="n">
        <v>0.347306</v>
      </c>
      <c r="J41" t="n">
        <v>0.0649</v>
      </c>
      <c r="K41" t="n">
        <v>0.017769</v>
      </c>
      <c r="L41" t="n">
        <v>1.2787</v>
      </c>
      <c r="M41" t="n">
        <v>4.9422</v>
      </c>
      <c r="N41" t="n">
        <v>6.3197</v>
      </c>
      <c r="O41" t="inlineStr">
        <is>
          <t>PROTECT</t>
        </is>
      </c>
    </row>
    <row r="42">
      <c r="A42" t="n">
        <v>26091094</v>
      </c>
      <c r="B42" t="n">
        <v>41</v>
      </c>
      <c r="C42" t="n">
        <v>30606</v>
      </c>
      <c r="D42" t="n">
        <v>10400</v>
      </c>
      <c r="E42" t="n">
        <v>776</v>
      </c>
      <c r="F42" t="n">
        <v>22.2032</v>
      </c>
      <c r="G42" s="30" t="n">
        <v>0.004598</v>
      </c>
      <c r="H42" s="14" t="n">
        <v>0.4842</v>
      </c>
      <c r="I42" t="n">
        <v>0.339803</v>
      </c>
      <c r="J42" t="n">
        <v>0.0746</v>
      </c>
      <c r="K42" t="n">
        <v>0.028612</v>
      </c>
      <c r="L42" t="n">
        <v>1.0659</v>
      </c>
      <c r="M42" t="n">
        <v>4.9068</v>
      </c>
      <c r="N42" t="n">
        <v>5.2304</v>
      </c>
      <c r="O42" t="inlineStr">
        <is>
          <t>FIX</t>
        </is>
      </c>
    </row>
    <row r="43">
      <c r="A43" t="n">
        <v>32323516</v>
      </c>
      <c r="B43" t="n">
        <v>42</v>
      </c>
      <c r="C43" t="n">
        <v>108748</v>
      </c>
      <c r="D43" t="n">
        <v>28589</v>
      </c>
      <c r="E43" t="n">
        <v>341</v>
      </c>
      <c r="F43" t="n">
        <v>22.0937</v>
      </c>
      <c r="G43" s="30" t="n">
        <v>0.004575</v>
      </c>
      <c r="H43" s="14" t="n">
        <v>0.4888</v>
      </c>
      <c r="I43" t="n">
        <v>0.262892</v>
      </c>
      <c r="J43" t="n">
        <v>0.0119</v>
      </c>
      <c r="K43" t="n">
        <v>0.064791</v>
      </c>
      <c r="L43" t="n">
        <v>1.9857</v>
      </c>
      <c r="M43" t="n">
        <v>3.1475</v>
      </c>
      <c r="N43" t="n">
        <v>6.25</v>
      </c>
      <c r="O43" t="inlineStr">
        <is>
          <t>FIX</t>
        </is>
      </c>
    </row>
    <row r="44">
      <c r="A44" t="n">
        <v>10474106</v>
      </c>
      <c r="B44" t="n">
        <v>43</v>
      </c>
      <c r="C44" t="n">
        <v>39851</v>
      </c>
      <c r="D44" t="n">
        <v>24393</v>
      </c>
      <c r="E44" t="n">
        <v>1216</v>
      </c>
      <c r="F44" t="n">
        <v>21.967</v>
      </c>
      <c r="G44" s="30" t="n">
        <v>0.004549</v>
      </c>
      <c r="H44" s="14" t="n">
        <v>0.4933</v>
      </c>
      <c r="I44" t="n">
        <v>0.612105</v>
      </c>
      <c r="J44" t="n">
        <v>0.0499</v>
      </c>
      <c r="K44" t="n">
        <v>0.018065</v>
      </c>
      <c r="L44" t="n">
        <v>0.6428</v>
      </c>
      <c r="M44" t="n">
        <v>6.2761</v>
      </c>
      <c r="N44" t="n">
        <v>4.0341</v>
      </c>
      <c r="O44" t="inlineStr">
        <is>
          <t>PROTECT</t>
        </is>
      </c>
    </row>
    <row r="45">
      <c r="A45" t="n">
        <v>32452111</v>
      </c>
      <c r="B45" t="n">
        <v>44</v>
      </c>
      <c r="C45" t="n">
        <v>138682</v>
      </c>
      <c r="D45" t="n">
        <v>45282</v>
      </c>
      <c r="E45" t="n">
        <v>3164</v>
      </c>
      <c r="F45" t="n">
        <v>21.7548</v>
      </c>
      <c r="G45" s="30" t="n">
        <v>0.004505</v>
      </c>
      <c r="H45" s="14" t="n">
        <v>0.4978</v>
      </c>
      <c r="I45" t="n">
        <v>0.326517</v>
      </c>
      <c r="J45" t="n">
        <v>0.0699</v>
      </c>
      <c r="K45" t="n">
        <v>0.006876</v>
      </c>
      <c r="L45" t="n">
        <v>0.9549</v>
      </c>
      <c r="M45" t="n">
        <v>5.0307</v>
      </c>
      <c r="N45" t="n">
        <v>4.8037</v>
      </c>
      <c r="O45" t="inlineStr">
        <is>
          <t>PROTECT</t>
        </is>
      </c>
    </row>
    <row r="46">
      <c r="A46" t="n">
        <v>27321366</v>
      </c>
      <c r="B46" t="n">
        <v>45</v>
      </c>
      <c r="C46" t="n">
        <v>110260</v>
      </c>
      <c r="D46" t="n">
        <v>38174</v>
      </c>
      <c r="E46" t="n">
        <v>1354</v>
      </c>
      <c r="F46" t="n">
        <v>21.5203</v>
      </c>
      <c r="G46" s="30" t="n">
        <v>0.004456</v>
      </c>
      <c r="H46" s="14" t="n">
        <v>0.5023</v>
      </c>
      <c r="I46" t="n">
        <v>0.346218</v>
      </c>
      <c r="J46" t="n">
        <v>0.0355</v>
      </c>
      <c r="K46" t="n">
        <v>0.015894</v>
      </c>
      <c r="L46" t="n">
        <v>0.7905</v>
      </c>
      <c r="M46" t="n">
        <v>5.8855</v>
      </c>
      <c r="N46" t="n">
        <v>4.6524</v>
      </c>
      <c r="O46" t="inlineStr">
        <is>
          <t>PROTECT</t>
        </is>
      </c>
    </row>
    <row r="47">
      <c r="A47" t="n">
        <v>24389111</v>
      </c>
      <c r="B47" t="n">
        <v>46</v>
      </c>
      <c r="C47" t="n">
        <v>56560</v>
      </c>
      <c r="D47" t="n">
        <v>18010</v>
      </c>
      <c r="E47" t="n">
        <v>446</v>
      </c>
      <c r="F47" t="n">
        <v>21.3215</v>
      </c>
      <c r="G47" s="30" t="n">
        <v>0.004415</v>
      </c>
      <c r="H47" s="14" t="n">
        <v>0.5067</v>
      </c>
      <c r="I47" t="n">
        <v>0.318423</v>
      </c>
      <c r="J47" t="n">
        <v>0.0248</v>
      </c>
      <c r="K47" t="n">
        <v>0.047806</v>
      </c>
      <c r="L47" t="n">
        <v>0.7368</v>
      </c>
      <c r="M47" t="n">
        <v>6.011</v>
      </c>
      <c r="N47" t="n">
        <v>4.429</v>
      </c>
      <c r="O47" t="inlineStr">
        <is>
          <t>FIX</t>
        </is>
      </c>
    </row>
    <row r="48">
      <c r="A48" t="n">
        <v>9100693</v>
      </c>
      <c r="B48" t="n">
        <v>47</v>
      </c>
      <c r="C48" t="n">
        <v>100926</v>
      </c>
      <c r="D48" t="n">
        <v>39442</v>
      </c>
      <c r="E48" t="n">
        <v>15820</v>
      </c>
      <c r="F48" t="n">
        <v>20.8408</v>
      </c>
      <c r="G48" s="30" t="n">
        <v>0.004315</v>
      </c>
      <c r="H48" s="14" t="n">
        <v>0.511</v>
      </c>
      <c r="I48" t="n">
        <v>0.390801</v>
      </c>
      <c r="J48" t="n">
        <v>0.4011</v>
      </c>
      <c r="K48" t="n">
        <v>0.001317</v>
      </c>
      <c r="L48" t="n">
        <v>1.0239</v>
      </c>
      <c r="M48" t="n">
        <v>4.8056</v>
      </c>
      <c r="N48" t="n">
        <v>4.9205</v>
      </c>
      <c r="O48" t="inlineStr">
        <is>
          <t>PROTECT</t>
        </is>
      </c>
    </row>
    <row r="49">
      <c r="A49" t="n">
        <v>497593</v>
      </c>
      <c r="B49" t="n">
        <v>48</v>
      </c>
      <c r="C49" t="n">
        <v>191679</v>
      </c>
      <c r="D49" t="n">
        <v>78565</v>
      </c>
      <c r="E49" t="n">
        <v>2098</v>
      </c>
      <c r="F49" t="n">
        <v>20.4751</v>
      </c>
      <c r="G49" s="30" t="n">
        <v>0.00424</v>
      </c>
      <c r="H49" s="14" t="n">
        <v>0.5153</v>
      </c>
      <c r="I49" t="n">
        <v>0.409878</v>
      </c>
      <c r="J49" t="n">
        <v>0.0267</v>
      </c>
      <c r="K49" t="n">
        <v>0.009759</v>
      </c>
      <c r="L49" t="n">
        <v>0.5322</v>
      </c>
      <c r="M49" t="n">
        <v>3.3715</v>
      </c>
      <c r="N49" t="n">
        <v>1.7945</v>
      </c>
      <c r="O49" t="inlineStr">
        <is>
          <t>PROTECT</t>
        </is>
      </c>
    </row>
    <row r="50">
      <c r="A50" t="n">
        <v>27118781</v>
      </c>
      <c r="B50" t="n">
        <v>49</v>
      </c>
      <c r="C50" t="n">
        <v>59614</v>
      </c>
      <c r="D50" t="n">
        <v>21053</v>
      </c>
      <c r="E50" t="n">
        <v>3955</v>
      </c>
      <c r="F50" t="n">
        <v>20.3608</v>
      </c>
      <c r="G50" s="30" t="n">
        <v>0.004216</v>
      </c>
      <c r="H50" s="14" t="n">
        <v>0.5195</v>
      </c>
      <c r="I50" t="n">
        <v>0.353155</v>
      </c>
      <c r="J50" t="n">
        <v>0.1879</v>
      </c>
      <c r="K50" t="n">
        <v>0.005148</v>
      </c>
      <c r="L50" t="n">
        <v>0.806</v>
      </c>
      <c r="M50" t="n">
        <v>4.8526</v>
      </c>
      <c r="N50" t="n">
        <v>3.9114</v>
      </c>
      <c r="O50" t="inlineStr">
        <is>
          <t>PROTECT</t>
        </is>
      </c>
    </row>
    <row r="51">
      <c r="A51" t="n">
        <v>28896342</v>
      </c>
      <c r="B51" t="n">
        <v>50</v>
      </c>
      <c r="C51" t="n">
        <v>36445</v>
      </c>
      <c r="D51" t="n">
        <v>13012</v>
      </c>
      <c r="E51" t="n">
        <v>271</v>
      </c>
      <c r="F51" t="n">
        <v>19.8863</v>
      </c>
      <c r="G51" s="30" t="n">
        <v>0.004118</v>
      </c>
      <c r="H51" s="14" t="n">
        <v>0.5236</v>
      </c>
      <c r="I51" t="n">
        <v>0.357031</v>
      </c>
      <c r="J51" t="n">
        <v>0.0208</v>
      </c>
      <c r="K51" t="n">
        <v>0.073381</v>
      </c>
      <c r="L51" t="n">
        <v>0.9596</v>
      </c>
      <c r="M51" t="n">
        <v>4.4846</v>
      </c>
      <c r="N51" t="n">
        <v>4.3035</v>
      </c>
      <c r="O51" t="inlineStr">
        <is>
          <t>FIX</t>
        </is>
      </c>
    </row>
    <row r="52">
      <c r="A52" t="n">
        <v>7686710</v>
      </c>
      <c r="B52" t="n">
        <v>51</v>
      </c>
      <c r="C52" t="n">
        <v>72214</v>
      </c>
      <c r="D52" t="n">
        <v>27040</v>
      </c>
      <c r="E52" t="n">
        <v>1098</v>
      </c>
      <c r="F52" t="n">
        <v>19.5346</v>
      </c>
      <c r="G52" s="30" t="n">
        <v>0.004045</v>
      </c>
      <c r="H52" s="14" t="n">
        <v>0.5276</v>
      </c>
      <c r="I52" t="n">
        <v>0.374443</v>
      </c>
      <c r="J52" t="n">
        <v>0.0406</v>
      </c>
      <c r="K52" t="n">
        <v>0.017791</v>
      </c>
      <c r="L52" t="n">
        <v>1.1837</v>
      </c>
      <c r="M52" t="n">
        <v>4.1221</v>
      </c>
      <c r="N52" t="n">
        <v>4.8791</v>
      </c>
      <c r="O52" t="inlineStr">
        <is>
          <t>PROTECT</t>
        </is>
      </c>
    </row>
    <row r="53">
      <c r="A53" t="n">
        <v>19602309</v>
      </c>
      <c r="B53" t="n">
        <v>52</v>
      </c>
      <c r="C53" t="n">
        <v>114778</v>
      </c>
      <c r="D53" t="n">
        <v>40393</v>
      </c>
      <c r="E53" t="n">
        <v>327</v>
      </c>
      <c r="F53" t="n">
        <v>18.9066</v>
      </c>
      <c r="G53" s="30" t="n">
        <v>0.003915</v>
      </c>
      <c r="H53" s="14" t="n">
        <v>0.5316</v>
      </c>
      <c r="I53" t="n">
        <v>0.351923</v>
      </c>
      <c r="J53" t="n">
        <v>0.0081</v>
      </c>
      <c r="K53" t="n">
        <v>0.057818</v>
      </c>
      <c r="L53" t="n">
        <v>1.5275</v>
      </c>
      <c r="M53" t="n">
        <v>3.6828</v>
      </c>
      <c r="N53" t="n">
        <v>5.6256</v>
      </c>
      <c r="O53" t="inlineStr">
        <is>
          <t>FIX</t>
        </is>
      </c>
    </row>
    <row r="54">
      <c r="A54" t="n">
        <v>11321105</v>
      </c>
      <c r="B54" t="n">
        <v>53</v>
      </c>
      <c r="C54" t="n">
        <v>33775</v>
      </c>
      <c r="D54" t="n">
        <v>10077</v>
      </c>
      <c r="E54" t="n">
        <v>598</v>
      </c>
      <c r="F54" t="n">
        <v>18.7875</v>
      </c>
      <c r="G54" s="30" t="n">
        <v>0.00389</v>
      </c>
      <c r="H54" s="14" t="n">
        <v>0.5355</v>
      </c>
      <c r="I54" t="n">
        <v>0.298357</v>
      </c>
      <c r="J54" t="n">
        <v>0.0593</v>
      </c>
      <c r="K54" t="n">
        <v>0.031417</v>
      </c>
      <c r="L54" t="n">
        <v>1.2826</v>
      </c>
      <c r="M54" t="n">
        <v>3.6897</v>
      </c>
      <c r="N54" t="n">
        <v>4.7324</v>
      </c>
      <c r="O54" t="inlineStr">
        <is>
          <t>FIX</t>
        </is>
      </c>
    </row>
    <row r="55">
      <c r="A55" t="n">
        <v>8403848</v>
      </c>
      <c r="B55" t="n">
        <v>54</v>
      </c>
      <c r="C55" t="n">
        <v>85868</v>
      </c>
      <c r="D55" t="n">
        <v>28973</v>
      </c>
      <c r="E55" t="n">
        <v>647</v>
      </c>
      <c r="F55" t="n">
        <v>18.1717</v>
      </c>
      <c r="G55" s="30" t="n">
        <v>0.003763</v>
      </c>
      <c r="H55" s="14" t="n">
        <v>0.5392</v>
      </c>
      <c r="I55" t="n">
        <v>0.337413</v>
      </c>
      <c r="J55" t="n">
        <v>0.0223</v>
      </c>
      <c r="K55" t="n">
        <v>0.028086</v>
      </c>
      <c r="L55" t="n">
        <v>1.1897</v>
      </c>
      <c r="M55" t="n">
        <v>3.0236</v>
      </c>
      <c r="N55" t="n">
        <v>3.5972</v>
      </c>
      <c r="O55" t="inlineStr">
        <is>
          <t>FIX</t>
        </is>
      </c>
    </row>
    <row r="56">
      <c r="A56" t="n">
        <v>20938751</v>
      </c>
      <c r="B56" t="n">
        <v>55</v>
      </c>
      <c r="C56" t="n">
        <v>35375</v>
      </c>
      <c r="D56" t="n">
        <v>11710</v>
      </c>
      <c r="E56" t="n">
        <v>1979</v>
      </c>
      <c r="F56" t="n">
        <v>17.7635</v>
      </c>
      <c r="G56" s="30" t="n">
        <v>0.003678</v>
      </c>
      <c r="H56" s="14" t="n">
        <v>0.5429</v>
      </c>
      <c r="I56" t="n">
        <v>0.331025</v>
      </c>
      <c r="J56" t="n">
        <v>0.169</v>
      </c>
      <c r="K56" t="n">
        <v>0.008976</v>
      </c>
      <c r="L56" t="n">
        <v>1.3862</v>
      </c>
      <c r="M56" t="n">
        <v>2.4695</v>
      </c>
      <c r="N56" t="n">
        <v>3.4232</v>
      </c>
      <c r="O56" t="inlineStr">
        <is>
          <t>PROTECT</t>
        </is>
      </c>
    </row>
    <row r="57">
      <c r="A57" t="n">
        <v>9100689</v>
      </c>
      <c r="B57" t="n">
        <v>56</v>
      </c>
      <c r="C57" t="n">
        <v>52153</v>
      </c>
      <c r="D57" t="n">
        <v>21023</v>
      </c>
      <c r="E57" t="n">
        <v>8130</v>
      </c>
      <c r="F57" t="n">
        <v>17.6217</v>
      </c>
      <c r="G57" s="30" t="n">
        <v>0.003649</v>
      </c>
      <c r="H57" s="14" t="n">
        <v>0.5465</v>
      </c>
      <c r="I57" t="n">
        <v>0.403102</v>
      </c>
      <c r="J57" t="n">
        <v>0.3867</v>
      </c>
      <c r="K57" t="n">
        <v>0.002167</v>
      </c>
      <c r="L57" t="n">
        <v>0.5556</v>
      </c>
      <c r="M57" t="n">
        <v>6.3588</v>
      </c>
      <c r="N57" t="n">
        <v>3.5328</v>
      </c>
      <c r="O57" t="inlineStr">
        <is>
          <t>PROTECT</t>
        </is>
      </c>
    </row>
    <row r="58">
      <c r="A58" t="n">
        <v>23817046</v>
      </c>
      <c r="B58" t="n">
        <v>57</v>
      </c>
      <c r="C58" t="n">
        <v>88474</v>
      </c>
      <c r="D58" t="n">
        <v>36883</v>
      </c>
      <c r="E58" t="n">
        <v>3085</v>
      </c>
      <c r="F58" t="n">
        <v>17.5005</v>
      </c>
      <c r="G58" s="30" t="n">
        <v>0.003624</v>
      </c>
      <c r="H58" s="14" t="n">
        <v>0.5502</v>
      </c>
      <c r="I58" t="n">
        <v>0.41688</v>
      </c>
      <c r="J58" t="n">
        <v>0.08359999999999999</v>
      </c>
      <c r="K58" t="n">
        <v>0.005673</v>
      </c>
      <c r="L58" t="n">
        <v>0.5608</v>
      </c>
      <c r="M58" t="n">
        <v>5.9875</v>
      </c>
      <c r="N58" t="n">
        <v>3.3579</v>
      </c>
      <c r="O58" t="inlineStr">
        <is>
          <t>PROTECT</t>
        </is>
      </c>
    </row>
    <row r="59">
      <c r="A59" t="n">
        <v>26852339</v>
      </c>
      <c r="B59" t="n">
        <v>58</v>
      </c>
      <c r="C59" t="n">
        <v>159742</v>
      </c>
      <c r="D59" t="n">
        <v>32700</v>
      </c>
      <c r="E59" t="n">
        <v>335</v>
      </c>
      <c r="F59" t="n">
        <v>17.1831</v>
      </c>
      <c r="G59" s="30" t="n">
        <v>0.003558</v>
      </c>
      <c r="H59" s="14" t="n">
        <v>0.5537</v>
      </c>
      <c r="I59" t="n">
        <v>0.204705</v>
      </c>
      <c r="J59" t="n">
        <v>0.0102</v>
      </c>
      <c r="K59" t="n">
        <v>0.051293</v>
      </c>
      <c r="L59" t="n">
        <v>2.8315</v>
      </c>
      <c r="M59" t="n">
        <v>1.7873</v>
      </c>
      <c r="N59" t="n">
        <v>5.0608</v>
      </c>
      <c r="O59" t="inlineStr">
        <is>
          <t>FIX</t>
        </is>
      </c>
    </row>
    <row r="60">
      <c r="A60" t="n">
        <v>8500299</v>
      </c>
      <c r="B60" t="n">
        <v>59</v>
      </c>
      <c r="C60" t="n">
        <v>20444</v>
      </c>
      <c r="D60" t="n">
        <v>10271</v>
      </c>
      <c r="E60" t="n">
        <v>885</v>
      </c>
      <c r="F60" t="n">
        <v>16.292</v>
      </c>
      <c r="G60" s="30" t="n">
        <v>0.003374</v>
      </c>
      <c r="H60" s="14" t="n">
        <v>0.5571</v>
      </c>
      <c r="I60" t="n">
        <v>0.502397</v>
      </c>
      <c r="J60" t="n">
        <v>0.0862</v>
      </c>
      <c r="K60" t="n">
        <v>0.018409</v>
      </c>
      <c r="L60" t="n">
        <v>0.959</v>
      </c>
      <c r="M60" t="n">
        <v>3.1938</v>
      </c>
      <c r="N60" t="n">
        <v>3.0629</v>
      </c>
      <c r="O60" t="inlineStr">
        <is>
          <t>FIX</t>
        </is>
      </c>
    </row>
    <row r="61">
      <c r="A61" t="n">
        <v>12843317</v>
      </c>
      <c r="B61" t="n">
        <v>60</v>
      </c>
      <c r="C61" t="n">
        <v>27166</v>
      </c>
      <c r="D61" t="n">
        <v>14567</v>
      </c>
      <c r="E61" t="n">
        <v>1088</v>
      </c>
      <c r="F61" t="n">
        <v>16.2794</v>
      </c>
      <c r="G61" s="30" t="n">
        <v>0.003371</v>
      </c>
      <c r="H61" s="14" t="n">
        <v>0.5605</v>
      </c>
      <c r="I61" t="n">
        <v>0.536222</v>
      </c>
      <c r="J61" t="n">
        <v>0.0747</v>
      </c>
      <c r="K61" t="n">
        <v>0.014963</v>
      </c>
      <c r="L61" t="n">
        <v>0.7927999999999999</v>
      </c>
      <c r="M61" t="n">
        <v>4.343</v>
      </c>
      <c r="N61" t="n">
        <v>3.4429</v>
      </c>
      <c r="O61" t="inlineStr">
        <is>
          <t>PROTECT</t>
        </is>
      </c>
    </row>
    <row r="62">
      <c r="A62" t="n">
        <v>5686703</v>
      </c>
      <c r="B62" t="n">
        <v>61</v>
      </c>
      <c r="C62" t="n">
        <v>67793</v>
      </c>
      <c r="D62" t="n">
        <v>23999</v>
      </c>
      <c r="E62" t="n">
        <v>922</v>
      </c>
      <c r="F62" t="n">
        <v>15.8615</v>
      </c>
      <c r="G62" s="30" t="n">
        <v>0.003284</v>
      </c>
      <c r="H62" s="14" t="n">
        <v>0.5638</v>
      </c>
      <c r="I62" t="n">
        <v>0.354004</v>
      </c>
      <c r="J62" t="n">
        <v>0.0384</v>
      </c>
      <c r="K62" t="n">
        <v>0.017203</v>
      </c>
      <c r="L62" t="n">
        <v>1.6074</v>
      </c>
      <c r="M62" t="n">
        <v>2.8366</v>
      </c>
      <c r="N62" t="n">
        <v>4.5597</v>
      </c>
      <c r="O62" t="inlineStr">
        <is>
          <t>PROTECT</t>
        </is>
      </c>
    </row>
    <row r="63">
      <c r="A63" t="n">
        <v>29389116</v>
      </c>
      <c r="B63" t="n">
        <v>62</v>
      </c>
      <c r="C63" t="n">
        <v>36163</v>
      </c>
      <c r="D63" t="n">
        <v>11267</v>
      </c>
      <c r="E63" t="n">
        <v>465</v>
      </c>
      <c r="F63" t="n">
        <v>15.5769</v>
      </c>
      <c r="G63" s="30" t="n">
        <v>0.003225</v>
      </c>
      <c r="H63" s="14" t="n">
        <v>0.5669999999999999</v>
      </c>
      <c r="I63" t="n">
        <v>0.311562</v>
      </c>
      <c r="J63" t="n">
        <v>0.0413</v>
      </c>
      <c r="K63" t="n">
        <v>0.033499</v>
      </c>
      <c r="L63" t="n">
        <v>0.8099</v>
      </c>
      <c r="M63" t="n">
        <v>4.2901</v>
      </c>
      <c r="N63" t="n">
        <v>3.4747</v>
      </c>
      <c r="O63" t="inlineStr">
        <is>
          <t>FIX</t>
        </is>
      </c>
    </row>
    <row r="64">
      <c r="A64" t="n">
        <v>11959615</v>
      </c>
      <c r="B64" t="n">
        <v>63</v>
      </c>
      <c r="C64" t="n">
        <v>39801</v>
      </c>
      <c r="D64" t="n">
        <v>26960</v>
      </c>
      <c r="E64" t="n">
        <v>1148</v>
      </c>
      <c r="F64" t="n">
        <v>15.4662</v>
      </c>
      <c r="G64" s="30" t="n">
        <v>0.003203</v>
      </c>
      <c r="H64" s="14" t="n">
        <v>0.5702</v>
      </c>
      <c r="I64" t="n">
        <v>0.67737</v>
      </c>
      <c r="J64" t="n">
        <v>0.0426</v>
      </c>
      <c r="K64" t="n">
        <v>0.013472</v>
      </c>
      <c r="L64" t="n">
        <v>1.1437</v>
      </c>
      <c r="M64" t="n">
        <v>2.7575</v>
      </c>
      <c r="N64" t="n">
        <v>3.1537</v>
      </c>
      <c r="O64" t="inlineStr">
        <is>
          <t>PROTECT</t>
        </is>
      </c>
    </row>
    <row r="65">
      <c r="A65" t="n">
        <v>13661605</v>
      </c>
      <c r="B65" t="n">
        <v>64</v>
      </c>
      <c r="C65" t="n">
        <v>47858</v>
      </c>
      <c r="D65" t="n">
        <v>13999</v>
      </c>
      <c r="E65" t="n">
        <v>1480</v>
      </c>
      <c r="F65" t="n">
        <v>15.4169</v>
      </c>
      <c r="G65" s="30" t="n">
        <v>0.003192</v>
      </c>
      <c r="H65" s="14" t="n">
        <v>0.5734</v>
      </c>
      <c r="I65" t="n">
        <v>0.292511</v>
      </c>
      <c r="J65" t="n">
        <v>0.1057</v>
      </c>
      <c r="K65" t="n">
        <v>0.010417</v>
      </c>
      <c r="L65" t="n">
        <v>0.876</v>
      </c>
      <c r="M65" t="n">
        <v>3.2771</v>
      </c>
      <c r="N65" t="n">
        <v>2.8707</v>
      </c>
      <c r="O65" t="inlineStr">
        <is>
          <t>PROTECT</t>
        </is>
      </c>
    </row>
    <row r="66">
      <c r="A66" t="n">
        <v>5121547</v>
      </c>
      <c r="B66" t="n">
        <v>65</v>
      </c>
      <c r="C66" t="n">
        <v>20336</v>
      </c>
      <c r="D66" t="n">
        <v>5931</v>
      </c>
      <c r="E66" t="n">
        <v>193</v>
      </c>
      <c r="F66" t="n">
        <v>15.4099</v>
      </c>
      <c r="G66" s="30" t="n">
        <v>0.003191</v>
      </c>
      <c r="H66" s="14" t="n">
        <v>0.5766</v>
      </c>
      <c r="I66" t="n">
        <v>0.29165</v>
      </c>
      <c r="J66" t="n">
        <v>0.0325</v>
      </c>
      <c r="K66" t="n">
        <v>0.079844</v>
      </c>
      <c r="L66" t="n">
        <v>1.3377</v>
      </c>
      <c r="M66" t="n">
        <v>3.3195</v>
      </c>
      <c r="N66" t="n">
        <v>4.4406</v>
      </c>
      <c r="O66" t="inlineStr">
        <is>
          <t>FIX</t>
        </is>
      </c>
    </row>
    <row r="67">
      <c r="A67" t="n">
        <v>29614011</v>
      </c>
      <c r="B67" t="n">
        <v>66</v>
      </c>
      <c r="C67" t="n">
        <v>37818</v>
      </c>
      <c r="D67" t="n">
        <v>14525</v>
      </c>
      <c r="E67" t="n">
        <v>386</v>
      </c>
      <c r="F67" t="n">
        <v>15.3505</v>
      </c>
      <c r="G67" s="30" t="n">
        <v>0.003179</v>
      </c>
      <c r="H67" s="14" t="n">
        <v>0.5797</v>
      </c>
      <c r="I67" t="n">
        <v>0.384076</v>
      </c>
      <c r="J67" t="n">
        <v>0.0266</v>
      </c>
      <c r="K67" t="n">
        <v>0.039768</v>
      </c>
      <c r="L67" t="n">
        <v>2.1987</v>
      </c>
      <c r="M67" t="n">
        <v>2.3001</v>
      </c>
      <c r="N67" t="n">
        <v>5.0572</v>
      </c>
      <c r="O67" t="inlineStr">
        <is>
          <t>FIX</t>
        </is>
      </c>
    </row>
    <row r="68">
      <c r="A68" t="n">
        <v>14289571</v>
      </c>
      <c r="B68" t="n">
        <v>67</v>
      </c>
      <c r="C68" t="n">
        <v>81357</v>
      </c>
      <c r="D68" t="n">
        <v>24935</v>
      </c>
      <c r="E68" t="n">
        <v>1384</v>
      </c>
      <c r="F68" t="n">
        <v>14.9304</v>
      </c>
      <c r="G68" s="30" t="n">
        <v>0.003092</v>
      </c>
      <c r="H68" s="14" t="n">
        <v>0.5828</v>
      </c>
      <c r="I68" t="n">
        <v>0.306489</v>
      </c>
      <c r="J68" t="n">
        <v>0.0555</v>
      </c>
      <c r="K68" t="n">
        <v>0.010788</v>
      </c>
      <c r="L68" t="n">
        <v>1.2031</v>
      </c>
      <c r="M68" t="n">
        <v>3.1459</v>
      </c>
      <c r="N68" t="n">
        <v>3.7849</v>
      </c>
      <c r="O68" t="inlineStr">
        <is>
          <t>PROTECT</t>
        </is>
      </c>
    </row>
    <row r="69">
      <c r="A69" t="n">
        <v>26852338</v>
      </c>
      <c r="B69" t="n">
        <v>68</v>
      </c>
      <c r="C69" t="n">
        <v>107659</v>
      </c>
      <c r="D69" t="n">
        <v>24346</v>
      </c>
      <c r="E69" t="n">
        <v>436</v>
      </c>
      <c r="F69" t="n">
        <v>14.5352</v>
      </c>
      <c r="G69" s="30" t="n">
        <v>0.00301</v>
      </c>
      <c r="H69" s="14" t="n">
        <v>0.5858</v>
      </c>
      <c r="I69" t="n">
        <v>0.22614</v>
      </c>
      <c r="J69" t="n">
        <v>0.0179</v>
      </c>
      <c r="K69" t="n">
        <v>0.033338</v>
      </c>
      <c r="L69" t="n">
        <v>1.184</v>
      </c>
      <c r="M69" t="n">
        <v>2.7799</v>
      </c>
      <c r="N69" t="n">
        <v>3.2913</v>
      </c>
      <c r="O69" t="inlineStr">
        <is>
          <t>FIX</t>
        </is>
      </c>
    </row>
    <row r="70">
      <c r="A70" t="n">
        <v>13422843</v>
      </c>
      <c r="B70" t="n">
        <v>69</v>
      </c>
      <c r="C70" t="n">
        <v>110601</v>
      </c>
      <c r="D70" t="n">
        <v>41405</v>
      </c>
      <c r="E70" t="n">
        <v>835</v>
      </c>
      <c r="F70" t="n">
        <v>14.2859</v>
      </c>
      <c r="G70" s="30" t="n">
        <v>0.002958</v>
      </c>
      <c r="H70" s="14" t="n">
        <v>0.5888</v>
      </c>
      <c r="I70" t="n">
        <v>0.374364</v>
      </c>
      <c r="J70" t="n">
        <v>0.0202</v>
      </c>
      <c r="K70" t="n">
        <v>0.017109</v>
      </c>
      <c r="L70" t="n">
        <v>1.1425</v>
      </c>
      <c r="M70" t="n">
        <v>2.3298</v>
      </c>
      <c r="N70" t="n">
        <v>2.6618</v>
      </c>
      <c r="O70" t="inlineStr">
        <is>
          <t>PROTECT</t>
        </is>
      </c>
    </row>
    <row r="71">
      <c r="A71" t="n">
        <v>7289590</v>
      </c>
      <c r="B71" t="n">
        <v>70</v>
      </c>
      <c r="C71" t="n">
        <v>77518</v>
      </c>
      <c r="D71" t="n">
        <v>25126</v>
      </c>
      <c r="E71" t="n">
        <v>667</v>
      </c>
      <c r="F71" t="n">
        <v>14.246</v>
      </c>
      <c r="G71" s="30" t="n">
        <v>0.00295</v>
      </c>
      <c r="H71" s="14" t="n">
        <v>0.5918</v>
      </c>
      <c r="I71" t="n">
        <v>0.324131</v>
      </c>
      <c r="J71" t="n">
        <v>0.0265</v>
      </c>
      <c r="K71" t="n">
        <v>0.021358</v>
      </c>
      <c r="L71" t="n">
        <v>0.8569</v>
      </c>
      <c r="M71" t="n">
        <v>3.6535</v>
      </c>
      <c r="N71" t="n">
        <v>3.1308</v>
      </c>
      <c r="O71" t="inlineStr">
        <is>
          <t>FIX</t>
        </is>
      </c>
    </row>
    <row r="72">
      <c r="A72" t="n">
        <v>10321103</v>
      </c>
      <c r="B72" t="n">
        <v>71</v>
      </c>
      <c r="C72" t="n">
        <v>22396</v>
      </c>
      <c r="D72" t="n">
        <v>8263</v>
      </c>
      <c r="E72" t="n">
        <v>62</v>
      </c>
      <c r="F72" t="n">
        <v>14.0785</v>
      </c>
      <c r="G72" s="30" t="n">
        <v>0.002915</v>
      </c>
      <c r="H72" s="14" t="n">
        <v>0.5947</v>
      </c>
      <c r="I72" t="n">
        <v>0.36895</v>
      </c>
      <c r="J72" t="n">
        <v>0.0075</v>
      </c>
      <c r="K72" t="n">
        <v>0.227073</v>
      </c>
      <c r="L72" t="n">
        <v>0.5389</v>
      </c>
      <c r="M72" t="n">
        <v>3.9876</v>
      </c>
      <c r="N72" t="n">
        <v>2.1489</v>
      </c>
      <c r="O72" t="inlineStr">
        <is>
          <t>FIX</t>
        </is>
      </c>
    </row>
    <row r="73">
      <c r="A73" t="n">
        <v>5044698</v>
      </c>
      <c r="B73" t="n">
        <v>72</v>
      </c>
      <c r="C73" t="n">
        <v>98550</v>
      </c>
      <c r="D73" t="n">
        <v>35176</v>
      </c>
      <c r="E73" t="n">
        <v>775</v>
      </c>
      <c r="F73" t="n">
        <v>13.9955</v>
      </c>
      <c r="G73" s="30" t="n">
        <v>0.002898</v>
      </c>
      <c r="H73" s="14" t="n">
        <v>0.5976</v>
      </c>
      <c r="I73" t="n">
        <v>0.356936</v>
      </c>
      <c r="J73" t="n">
        <v>0.022</v>
      </c>
      <c r="K73" t="n">
        <v>0.018059</v>
      </c>
      <c r="L73" t="n">
        <v>1.1755</v>
      </c>
      <c r="M73" t="n">
        <v>2.8288</v>
      </c>
      <c r="N73" t="n">
        <v>3.3252</v>
      </c>
      <c r="O73" t="inlineStr">
        <is>
          <t>PROTECT</t>
        </is>
      </c>
    </row>
    <row r="74">
      <c r="A74" t="n">
        <v>11938638</v>
      </c>
      <c r="B74" t="n">
        <v>73</v>
      </c>
      <c r="C74" t="n">
        <v>44185</v>
      </c>
      <c r="D74" t="n">
        <v>12172</v>
      </c>
      <c r="E74" t="n">
        <v>142</v>
      </c>
      <c r="F74" t="n">
        <v>13.8339</v>
      </c>
      <c r="G74" s="30" t="n">
        <v>0.002865</v>
      </c>
      <c r="H74" s="14" t="n">
        <v>0.6004</v>
      </c>
      <c r="I74" t="n">
        <v>0.275478</v>
      </c>
      <c r="J74" t="n">
        <v>0.0117</v>
      </c>
      <c r="K74" t="n">
        <v>0.09742199999999999</v>
      </c>
      <c r="L74" t="n">
        <v>1.6733</v>
      </c>
      <c r="M74" t="n">
        <v>2.1713</v>
      </c>
      <c r="N74" t="n">
        <v>3.6333</v>
      </c>
      <c r="O74" t="inlineStr">
        <is>
          <t>FIX</t>
        </is>
      </c>
    </row>
    <row r="75">
      <c r="A75" t="n">
        <v>6228543</v>
      </c>
      <c r="B75" t="n">
        <v>74</v>
      </c>
      <c r="C75" t="n">
        <v>30617</v>
      </c>
      <c r="D75" t="n">
        <v>9073</v>
      </c>
      <c r="E75" t="n">
        <v>1051</v>
      </c>
      <c r="F75" t="n">
        <v>13.5289</v>
      </c>
      <c r="G75" s="30" t="n">
        <v>0.002801</v>
      </c>
      <c r="H75" s="14" t="n">
        <v>0.6032</v>
      </c>
      <c r="I75" t="n">
        <v>0.296339</v>
      </c>
      <c r="J75" t="n">
        <v>0.1158</v>
      </c>
      <c r="K75" t="n">
        <v>0.012872</v>
      </c>
      <c r="L75" t="n">
        <v>0.8223</v>
      </c>
      <c r="M75" t="n">
        <v>3.6554</v>
      </c>
      <c r="N75" t="n">
        <v>3.0057</v>
      </c>
      <c r="O75" t="inlineStr">
        <is>
          <t>PROTECT</t>
        </is>
      </c>
    </row>
    <row r="76">
      <c r="A76" t="n">
        <v>787943</v>
      </c>
      <c r="B76" t="n">
        <v>75</v>
      </c>
      <c r="C76" t="n">
        <v>36050</v>
      </c>
      <c r="D76" t="n">
        <v>9750</v>
      </c>
      <c r="E76" t="n">
        <v>626</v>
      </c>
      <c r="F76" t="n">
        <v>13.4828</v>
      </c>
      <c r="G76" s="30" t="n">
        <v>0.002792</v>
      </c>
      <c r="H76" s="14" t="n">
        <v>0.606</v>
      </c>
      <c r="I76" t="n">
        <v>0.270458</v>
      </c>
      <c r="J76" t="n">
        <v>0.06419999999999999</v>
      </c>
      <c r="K76" t="n">
        <v>0.021538</v>
      </c>
      <c r="L76" t="n">
        <v>1.2011</v>
      </c>
      <c r="M76" t="n">
        <v>2.2504</v>
      </c>
      <c r="N76" t="n">
        <v>2.703</v>
      </c>
      <c r="O76" t="inlineStr">
        <is>
          <t>FIX</t>
        </is>
      </c>
    </row>
    <row r="77">
      <c r="A77" t="n">
        <v>18898397</v>
      </c>
      <c r="B77" t="n">
        <v>76</v>
      </c>
      <c r="C77" t="n">
        <v>33111</v>
      </c>
      <c r="D77" t="n">
        <v>10467</v>
      </c>
      <c r="E77" t="n">
        <v>735</v>
      </c>
      <c r="F77" t="n">
        <v>13.3196</v>
      </c>
      <c r="G77" s="30" t="n">
        <v>0.002758</v>
      </c>
      <c r="H77" s="14" t="n">
        <v>0.6088</v>
      </c>
      <c r="I77" t="n">
        <v>0.316119</v>
      </c>
      <c r="J77" t="n">
        <v>0.0702</v>
      </c>
      <c r="K77" t="n">
        <v>0.018122</v>
      </c>
      <c r="L77" t="n">
        <v>1.6355</v>
      </c>
      <c r="M77" t="n">
        <v>2.3026</v>
      </c>
      <c r="N77" t="n">
        <v>3.7658</v>
      </c>
      <c r="O77" t="inlineStr">
        <is>
          <t>PROTECT</t>
        </is>
      </c>
    </row>
    <row r="78">
      <c r="A78" t="n">
        <v>20377297</v>
      </c>
      <c r="B78" t="n">
        <v>77</v>
      </c>
      <c r="C78" t="n">
        <v>20407</v>
      </c>
      <c r="D78" t="n">
        <v>6563</v>
      </c>
      <c r="E78" t="n">
        <v>94</v>
      </c>
      <c r="F78" t="n">
        <v>13.2968</v>
      </c>
      <c r="G78" s="30" t="n">
        <v>0.002753</v>
      </c>
      <c r="H78" s="14" t="n">
        <v>0.6115</v>
      </c>
      <c r="I78" t="n">
        <v>0.321605</v>
      </c>
      <c r="J78" t="n">
        <v>0.0143</v>
      </c>
      <c r="K78" t="n">
        <v>0.141456</v>
      </c>
      <c r="L78" t="n">
        <v>0.8211000000000001</v>
      </c>
      <c r="M78" t="n">
        <v>3.5047</v>
      </c>
      <c r="N78" t="n">
        <v>2.8779</v>
      </c>
      <c r="O78" t="inlineStr">
        <is>
          <t>FIX</t>
        </is>
      </c>
    </row>
    <row r="79">
      <c r="A79" t="n">
        <v>13661608</v>
      </c>
      <c r="B79" t="n">
        <v>78</v>
      </c>
      <c r="C79" t="n">
        <v>65598</v>
      </c>
      <c r="D79" t="n">
        <v>21340</v>
      </c>
      <c r="E79" t="n">
        <v>318</v>
      </c>
      <c r="F79" t="n">
        <v>13.1176</v>
      </c>
      <c r="G79" s="30" t="n">
        <v>0.002716</v>
      </c>
      <c r="H79" s="14" t="n">
        <v>0.6143</v>
      </c>
      <c r="I79" t="n">
        <v>0.325315</v>
      </c>
      <c r="J79" t="n">
        <v>0.0149</v>
      </c>
      <c r="K79" t="n">
        <v>0.04125</v>
      </c>
      <c r="L79" t="n">
        <v>1.2997</v>
      </c>
      <c r="M79" t="n">
        <v>2.2666</v>
      </c>
      <c r="N79" t="n">
        <v>2.9459</v>
      </c>
      <c r="O79" t="inlineStr">
        <is>
          <t>FIX</t>
        </is>
      </c>
    </row>
    <row r="80">
      <c r="A80" t="n">
        <v>83677</v>
      </c>
      <c r="B80" t="n">
        <v>79</v>
      </c>
      <c r="C80" t="n">
        <v>42678</v>
      </c>
      <c r="D80" t="n">
        <v>12682</v>
      </c>
      <c r="E80" t="n">
        <v>175</v>
      </c>
      <c r="F80" t="n">
        <v>13.0771</v>
      </c>
      <c r="G80" s="30" t="n">
        <v>0.002708</v>
      </c>
      <c r="H80" s="14" t="n">
        <v>0.617</v>
      </c>
      <c r="I80" t="n">
        <v>0.297155</v>
      </c>
      <c r="J80" t="n">
        <v>0.0138</v>
      </c>
      <c r="K80" t="n">
        <v>0.074726</v>
      </c>
      <c r="L80" t="n">
        <v>0.9685</v>
      </c>
      <c r="M80" t="n">
        <v>3.463</v>
      </c>
      <c r="N80" t="n">
        <v>3.3539</v>
      </c>
      <c r="O80" t="inlineStr">
        <is>
          <t>FIX</t>
        </is>
      </c>
    </row>
    <row r="81">
      <c r="A81" t="n">
        <v>15654897</v>
      </c>
      <c r="B81" t="n">
        <v>80</v>
      </c>
      <c r="C81" t="n">
        <v>53007</v>
      </c>
      <c r="D81" t="n">
        <v>23718</v>
      </c>
      <c r="E81" t="n">
        <v>2235</v>
      </c>
      <c r="F81" t="n">
        <v>13.0682</v>
      </c>
      <c r="G81" s="30" t="n">
        <v>0.002706</v>
      </c>
      <c r="H81" s="14" t="n">
        <v>0.6197</v>
      </c>
      <c r="I81" t="n">
        <v>0.44745</v>
      </c>
      <c r="J81" t="n">
        <v>0.09420000000000001</v>
      </c>
      <c r="K81" t="n">
        <v>0.005847</v>
      </c>
      <c r="L81" t="n">
        <v>1.0019</v>
      </c>
      <c r="M81" t="n">
        <v>3.0777</v>
      </c>
      <c r="N81" t="n">
        <v>3.0837</v>
      </c>
      <c r="O81" t="inlineStr">
        <is>
          <t>PROTECT</t>
        </is>
      </c>
    </row>
    <row r="82">
      <c r="A82" t="n">
        <v>2946551</v>
      </c>
      <c r="B82" t="n">
        <v>81</v>
      </c>
      <c r="C82" t="n">
        <v>48943</v>
      </c>
      <c r="D82" t="n">
        <v>31811</v>
      </c>
      <c r="E82" t="n">
        <v>1411</v>
      </c>
      <c r="F82" t="n">
        <v>13.0428</v>
      </c>
      <c r="G82" s="30" t="n">
        <v>0.002701</v>
      </c>
      <c r="H82" s="14" t="n">
        <v>0.6224</v>
      </c>
      <c r="I82" t="n">
        <v>0.64996</v>
      </c>
      <c r="J82" t="n">
        <v>0.0444</v>
      </c>
      <c r="K82" t="n">
        <v>0.009244</v>
      </c>
      <c r="L82" t="n">
        <v>0.6317</v>
      </c>
      <c r="M82" t="n">
        <v>3.5346</v>
      </c>
      <c r="N82" t="n">
        <v>2.2327</v>
      </c>
      <c r="O82" t="inlineStr">
        <is>
          <t>PROTECT</t>
        </is>
      </c>
    </row>
    <row r="83">
      <c r="A83" t="n">
        <v>25920690</v>
      </c>
      <c r="B83" t="n">
        <v>82</v>
      </c>
      <c r="C83" t="n">
        <v>55096</v>
      </c>
      <c r="D83" t="n">
        <v>32378</v>
      </c>
      <c r="E83" t="n">
        <v>5621</v>
      </c>
      <c r="F83" t="n">
        <v>12.749</v>
      </c>
      <c r="G83" s="30" t="n">
        <v>0.00264</v>
      </c>
      <c r="H83" s="14" t="n">
        <v>0.625</v>
      </c>
      <c r="I83" t="n">
        <v>0.587665</v>
      </c>
      <c r="J83" t="n">
        <v>0.1736</v>
      </c>
      <c r="K83" t="n">
        <v>0.002268</v>
      </c>
      <c r="L83" t="n">
        <v>1.2175</v>
      </c>
      <c r="M83" t="n">
        <v>2.4952</v>
      </c>
      <c r="N83" t="n">
        <v>3.038</v>
      </c>
      <c r="O83" t="inlineStr">
        <is>
          <t>PROTECT</t>
        </is>
      </c>
    </row>
    <row r="84">
      <c r="A84" t="n">
        <v>28137208</v>
      </c>
      <c r="B84" t="n">
        <v>83</v>
      </c>
      <c r="C84" t="n">
        <v>67033</v>
      </c>
      <c r="D84" t="n">
        <v>26513</v>
      </c>
      <c r="E84" t="n">
        <v>832</v>
      </c>
      <c r="F84" t="n">
        <v>12.605</v>
      </c>
      <c r="G84" s="30" t="n">
        <v>0.00261</v>
      </c>
      <c r="H84" s="14" t="n">
        <v>0.6276</v>
      </c>
      <c r="I84" t="n">
        <v>0.395522</v>
      </c>
      <c r="J84" t="n">
        <v>0.0314</v>
      </c>
      <c r="K84" t="n">
        <v>0.01515</v>
      </c>
      <c r="L84" t="n">
        <v>0.9419999999999999</v>
      </c>
      <c r="M84" t="n">
        <v>2.9749</v>
      </c>
      <c r="N84" t="n">
        <v>2.8024</v>
      </c>
      <c r="O84" t="inlineStr">
        <is>
          <t>PROTECT</t>
        </is>
      </c>
    </row>
    <row r="85">
      <c r="A85" t="n">
        <v>32135670</v>
      </c>
      <c r="B85" t="n">
        <v>84</v>
      </c>
      <c r="C85" t="n">
        <v>56466</v>
      </c>
      <c r="D85" t="n">
        <v>15178</v>
      </c>
      <c r="E85" t="n">
        <v>999</v>
      </c>
      <c r="F85" t="n">
        <v>12.5973</v>
      </c>
      <c r="G85" s="30" t="n">
        <v>0.002608</v>
      </c>
      <c r="H85" s="14" t="n">
        <v>0.6302</v>
      </c>
      <c r="I85" t="n">
        <v>0.268799</v>
      </c>
      <c r="J85" t="n">
        <v>0.0658</v>
      </c>
      <c r="K85" t="n">
        <v>0.01261</v>
      </c>
      <c r="L85" t="n">
        <v>8.1953</v>
      </c>
      <c r="M85" t="n">
        <v>0.8714</v>
      </c>
      <c r="N85" t="n">
        <v>7.141</v>
      </c>
      <c r="O85" t="inlineStr">
        <is>
          <t>PROTECT</t>
        </is>
      </c>
    </row>
    <row r="86">
      <c r="A86" t="n">
        <v>8980585</v>
      </c>
      <c r="B86" t="n">
        <v>85</v>
      </c>
      <c r="C86" t="n">
        <v>51909</v>
      </c>
      <c r="D86" t="n">
        <v>16779</v>
      </c>
      <c r="E86" t="n">
        <v>1207</v>
      </c>
      <c r="F86" t="n">
        <v>12.5889</v>
      </c>
      <c r="G86" s="30" t="n">
        <v>0.002607</v>
      </c>
      <c r="H86" s="14" t="n">
        <v>0.6328</v>
      </c>
      <c r="I86" t="n">
        <v>0.323239</v>
      </c>
      <c r="J86" t="n">
        <v>0.07190000000000001</v>
      </c>
      <c r="K86" t="n">
        <v>0.01043</v>
      </c>
      <c r="L86" t="n">
        <v>0.5356</v>
      </c>
      <c r="M86" t="n">
        <v>3.4935</v>
      </c>
      <c r="N86" t="n">
        <v>1.8712</v>
      </c>
      <c r="O86" t="inlineStr">
        <is>
          <t>PROTECT</t>
        </is>
      </c>
    </row>
    <row r="87">
      <c r="A87" t="n">
        <v>22391321</v>
      </c>
      <c r="B87" t="n">
        <v>86</v>
      </c>
      <c r="C87" t="n">
        <v>23606</v>
      </c>
      <c r="D87" t="n">
        <v>7452</v>
      </c>
      <c r="E87" t="n">
        <v>505</v>
      </c>
      <c r="F87" t="n">
        <v>12.2865</v>
      </c>
      <c r="G87" s="30" t="n">
        <v>0.002544</v>
      </c>
      <c r="H87" s="14" t="n">
        <v>0.6354</v>
      </c>
      <c r="I87" t="n">
        <v>0.315682</v>
      </c>
      <c r="J87" t="n">
        <v>0.0678</v>
      </c>
      <c r="K87" t="n">
        <v>0.02433</v>
      </c>
      <c r="L87" t="n">
        <v>1.0208</v>
      </c>
      <c r="M87" t="n">
        <v>2.763</v>
      </c>
      <c r="N87" t="n">
        <v>2.8205</v>
      </c>
      <c r="O87" t="inlineStr">
        <is>
          <t>FIX</t>
        </is>
      </c>
    </row>
    <row r="88">
      <c r="A88" t="n">
        <v>21640043</v>
      </c>
      <c r="B88" t="n">
        <v>87</v>
      </c>
      <c r="C88" t="n">
        <v>51890</v>
      </c>
      <c r="D88" t="n">
        <v>20618</v>
      </c>
      <c r="E88" t="n">
        <v>2434</v>
      </c>
      <c r="F88" t="n">
        <v>12.2072</v>
      </c>
      <c r="G88" s="30" t="n">
        <v>0.002528</v>
      </c>
      <c r="H88" s="14" t="n">
        <v>0.6379</v>
      </c>
      <c r="I88" t="n">
        <v>0.397341</v>
      </c>
      <c r="J88" t="n">
        <v>0.1181</v>
      </c>
      <c r="K88" t="n">
        <v>0.005015</v>
      </c>
      <c r="L88" t="n">
        <v>0.9373</v>
      </c>
      <c r="M88" t="n">
        <v>2.7713</v>
      </c>
      <c r="N88" t="n">
        <v>2.5974</v>
      </c>
      <c r="O88" t="inlineStr">
        <is>
          <t>PROTECT</t>
        </is>
      </c>
    </row>
    <row r="89">
      <c r="A89" t="n">
        <v>13365547</v>
      </c>
      <c r="B89" t="n">
        <v>88</v>
      </c>
      <c r="C89" t="n">
        <v>38776</v>
      </c>
      <c r="D89" t="n">
        <v>28104</v>
      </c>
      <c r="E89" t="n">
        <v>2086</v>
      </c>
      <c r="F89" t="n">
        <v>11.6847</v>
      </c>
      <c r="G89" s="30" t="n">
        <v>0.00242</v>
      </c>
      <c r="H89" s="14" t="n">
        <v>0.6403</v>
      </c>
      <c r="I89" t="n">
        <v>0.724778</v>
      </c>
      <c r="J89" t="n">
        <v>0.0742</v>
      </c>
      <c r="K89" t="n">
        <v>0.005601</v>
      </c>
      <c r="L89" t="n">
        <v>1.7132</v>
      </c>
      <c r="M89" t="n">
        <v>1.5534</v>
      </c>
      <c r="N89" t="n">
        <v>2.6613</v>
      </c>
      <c r="O89" t="inlineStr">
        <is>
          <t>PROTECT</t>
        </is>
      </c>
    </row>
    <row r="90">
      <c r="A90" t="n">
        <v>23385780</v>
      </c>
      <c r="B90" t="n">
        <v>89</v>
      </c>
      <c r="C90" t="n">
        <v>14280</v>
      </c>
      <c r="D90" t="n">
        <v>3931</v>
      </c>
      <c r="E90" t="n">
        <v>44</v>
      </c>
      <c r="F90" t="n">
        <v>11.3478</v>
      </c>
      <c r="G90" s="30" t="n">
        <v>0.00235</v>
      </c>
      <c r="H90" s="14" t="n">
        <v>0.6427</v>
      </c>
      <c r="I90" t="n">
        <v>0.27528</v>
      </c>
      <c r="J90" t="n">
        <v>0.0112</v>
      </c>
      <c r="K90" t="n">
        <v>0.257904</v>
      </c>
      <c r="L90" t="n">
        <v>0.623</v>
      </c>
      <c r="M90" t="n">
        <v>3.0284</v>
      </c>
      <c r="N90" t="n">
        <v>1.8866</v>
      </c>
      <c r="O90" t="inlineStr">
        <is>
          <t>FIX</t>
        </is>
      </c>
    </row>
    <row r="91">
      <c r="A91" t="n">
        <v>1586481</v>
      </c>
      <c r="B91" t="n">
        <v>90</v>
      </c>
      <c r="C91" t="n">
        <v>19068</v>
      </c>
      <c r="D91" t="n">
        <v>5814</v>
      </c>
      <c r="E91" t="n">
        <v>91</v>
      </c>
      <c r="F91" t="n">
        <v>11.1706</v>
      </c>
      <c r="G91" s="30" t="n">
        <v>0.002313</v>
      </c>
      <c r="H91" s="14" t="n">
        <v>0.645</v>
      </c>
      <c r="I91" t="n">
        <v>0.304909</v>
      </c>
      <c r="J91" t="n">
        <v>0.0157</v>
      </c>
      <c r="K91" t="n">
        <v>0.122754</v>
      </c>
      <c r="L91" t="n">
        <v>0.7834</v>
      </c>
      <c r="M91" t="n">
        <v>3.423</v>
      </c>
      <c r="N91" t="n">
        <v>2.6814</v>
      </c>
      <c r="O91" t="inlineStr">
        <is>
          <t>FIX</t>
        </is>
      </c>
    </row>
    <row r="92">
      <c r="A92" t="n">
        <v>15491650</v>
      </c>
      <c r="B92" t="n">
        <v>91</v>
      </c>
      <c r="C92" t="n">
        <v>24952</v>
      </c>
      <c r="D92" t="n">
        <v>10159</v>
      </c>
      <c r="E92" t="n">
        <v>714</v>
      </c>
      <c r="F92" t="n">
        <v>10.9279</v>
      </c>
      <c r="G92" s="30" t="n">
        <v>0.002263</v>
      </c>
      <c r="H92" s="14" t="n">
        <v>0.6473</v>
      </c>
      <c r="I92" t="n">
        <v>0.407142</v>
      </c>
      <c r="J92" t="n">
        <v>0.0703</v>
      </c>
      <c r="K92" t="n">
        <v>0.015305</v>
      </c>
      <c r="L92" t="n">
        <v>1.022</v>
      </c>
      <c r="M92" t="n">
        <v>2.3141</v>
      </c>
      <c r="N92" t="n">
        <v>2.3651</v>
      </c>
      <c r="O92" t="inlineStr">
        <is>
          <t>PROTECT</t>
        </is>
      </c>
    </row>
    <row r="93">
      <c r="A93" t="n">
        <v>2576437</v>
      </c>
      <c r="B93" t="n">
        <v>92</v>
      </c>
      <c r="C93" t="n">
        <v>128938</v>
      </c>
      <c r="D93" t="n">
        <v>51628</v>
      </c>
      <c r="E93" t="n">
        <v>755</v>
      </c>
      <c r="F93" t="n">
        <v>10.8991</v>
      </c>
      <c r="G93" s="30" t="n">
        <v>0.002257</v>
      </c>
      <c r="H93" s="14" t="n">
        <v>0.6495</v>
      </c>
      <c r="I93" t="n">
        <v>0.400409</v>
      </c>
      <c r="J93" t="n">
        <v>0.0146</v>
      </c>
      <c r="K93" t="n">
        <v>0.014436</v>
      </c>
      <c r="L93" t="n">
        <v>0.6163</v>
      </c>
      <c r="M93" t="n">
        <v>3.233</v>
      </c>
      <c r="N93" t="n">
        <v>1.9926</v>
      </c>
      <c r="O93" t="inlineStr">
        <is>
          <t>PROTECT</t>
        </is>
      </c>
    </row>
    <row r="94">
      <c r="A94" t="n">
        <v>8980584</v>
      </c>
      <c r="B94" t="n">
        <v>93</v>
      </c>
      <c r="C94" t="n">
        <v>37815</v>
      </c>
      <c r="D94" t="n">
        <v>12607</v>
      </c>
      <c r="E94" t="n">
        <v>1144</v>
      </c>
      <c r="F94" t="n">
        <v>10.7326</v>
      </c>
      <c r="G94" s="30" t="n">
        <v>0.002222</v>
      </c>
      <c r="H94" s="14" t="n">
        <v>0.6516999999999999</v>
      </c>
      <c r="I94" t="n">
        <v>0.333386</v>
      </c>
      <c r="J94" t="n">
        <v>0.0907</v>
      </c>
      <c r="K94" t="n">
        <v>0.009382</v>
      </c>
      <c r="L94" t="n">
        <v>0.8266</v>
      </c>
      <c r="M94" t="n">
        <v>2.9725</v>
      </c>
      <c r="N94" t="n">
        <v>2.4571</v>
      </c>
      <c r="O94" t="inlineStr">
        <is>
          <t>PROTECT</t>
        </is>
      </c>
    </row>
    <row r="95">
      <c r="A95" t="n">
        <v>30328739</v>
      </c>
      <c r="B95" t="n">
        <v>94</v>
      </c>
      <c r="C95" t="n">
        <v>16396</v>
      </c>
      <c r="D95" t="n">
        <v>5210</v>
      </c>
      <c r="E95" t="n">
        <v>90</v>
      </c>
      <c r="F95" t="n">
        <v>10.6071</v>
      </c>
      <c r="G95" s="30" t="n">
        <v>0.002196</v>
      </c>
      <c r="H95" s="14" t="n">
        <v>0.6539</v>
      </c>
      <c r="I95" t="n">
        <v>0.31776</v>
      </c>
      <c r="J95" t="n">
        <v>0.0173</v>
      </c>
      <c r="K95" t="n">
        <v>0.117857</v>
      </c>
      <c r="L95" t="n">
        <v>0.4532</v>
      </c>
      <c r="M95" t="n">
        <v>3.7498</v>
      </c>
      <c r="N95" t="n">
        <v>1.6993</v>
      </c>
      <c r="O95" t="inlineStr">
        <is>
          <t>FIX</t>
        </is>
      </c>
    </row>
    <row r="96">
      <c r="A96" t="n">
        <v>26389107</v>
      </c>
      <c r="B96" t="n">
        <v>95</v>
      </c>
      <c r="C96" t="n">
        <v>41414</v>
      </c>
      <c r="D96" t="n">
        <v>8071</v>
      </c>
      <c r="E96" t="n">
        <v>329</v>
      </c>
      <c r="F96" t="n">
        <v>10.603</v>
      </c>
      <c r="G96" s="30" t="n">
        <v>0.002196</v>
      </c>
      <c r="H96" s="14" t="n">
        <v>0.6561</v>
      </c>
      <c r="I96" t="n">
        <v>0.194886</v>
      </c>
      <c r="J96" t="n">
        <v>0.0408</v>
      </c>
      <c r="K96" t="n">
        <v>0.032228</v>
      </c>
      <c r="L96" t="n">
        <v>1.3465</v>
      </c>
      <c r="M96" t="n">
        <v>2.5703</v>
      </c>
      <c r="N96" t="n">
        <v>3.461</v>
      </c>
      <c r="O96" t="inlineStr">
        <is>
          <t>FIX</t>
        </is>
      </c>
    </row>
    <row r="97">
      <c r="A97" t="n">
        <v>27589150</v>
      </c>
      <c r="B97" t="n">
        <v>96</v>
      </c>
      <c r="C97" t="n">
        <v>39009</v>
      </c>
      <c r="D97" t="n">
        <v>17790</v>
      </c>
      <c r="E97" t="n">
        <v>717</v>
      </c>
      <c r="F97" t="n">
        <v>10.4545</v>
      </c>
      <c r="G97" s="30" t="n">
        <v>0.002165</v>
      </c>
      <c r="H97" s="14" t="n">
        <v>0.6583</v>
      </c>
      <c r="I97" t="n">
        <v>0.456049</v>
      </c>
      <c r="J97" t="n">
        <v>0.0403</v>
      </c>
      <c r="K97" t="n">
        <v>0.014581</v>
      </c>
      <c r="L97" t="n">
        <v>1.8032</v>
      </c>
      <c r="M97" t="n">
        <v>1.7481</v>
      </c>
      <c r="N97" t="n">
        <v>3.1522</v>
      </c>
      <c r="O97" t="inlineStr">
        <is>
          <t>PROTECT</t>
        </is>
      </c>
    </row>
    <row r="98">
      <c r="A98" t="n">
        <v>3144706</v>
      </c>
      <c r="B98" t="n">
        <v>97</v>
      </c>
      <c r="C98" t="n">
        <v>29905</v>
      </c>
      <c r="D98" t="n">
        <v>10527</v>
      </c>
      <c r="E98" t="n">
        <v>105</v>
      </c>
      <c r="F98" t="n">
        <v>9.983499999999999</v>
      </c>
      <c r="G98" s="30" t="n">
        <v>0.002067</v>
      </c>
      <c r="H98" s="14" t="n">
        <v>0.6604</v>
      </c>
      <c r="I98" t="n">
        <v>0.352015</v>
      </c>
      <c r="J98" t="n">
        <v>0.01</v>
      </c>
      <c r="K98" t="n">
        <v>0.095081</v>
      </c>
      <c r="L98" t="n">
        <v>0.7653</v>
      </c>
      <c r="M98" t="n">
        <v>2.744</v>
      </c>
      <c r="N98" t="n">
        <v>2.0999</v>
      </c>
      <c r="O98" t="inlineStr">
        <is>
          <t>FIX</t>
        </is>
      </c>
    </row>
    <row r="99">
      <c r="A99" t="n">
        <v>30729721</v>
      </c>
      <c r="B99" t="n">
        <v>98</v>
      </c>
      <c r="C99" t="n">
        <v>30570</v>
      </c>
      <c r="D99" t="n">
        <v>8702</v>
      </c>
      <c r="E99" t="n">
        <v>189</v>
      </c>
      <c r="F99" t="n">
        <v>9.9703</v>
      </c>
      <c r="G99" s="30" t="n">
        <v>0.002065</v>
      </c>
      <c r="H99" s="14" t="n">
        <v>0.6624</v>
      </c>
      <c r="I99" t="n">
        <v>0.284658</v>
      </c>
      <c r="J99" t="n">
        <v>0.0217</v>
      </c>
      <c r="K99" t="n">
        <v>0.052753</v>
      </c>
      <c r="L99" t="n">
        <v>1.4884</v>
      </c>
      <c r="M99" t="n">
        <v>1.6692</v>
      </c>
      <c r="N99" t="n">
        <v>2.4844</v>
      </c>
      <c r="O99" t="inlineStr">
        <is>
          <t>FIX</t>
        </is>
      </c>
    </row>
    <row r="100">
      <c r="A100" t="n">
        <v>17710664</v>
      </c>
      <c r="B100" t="n">
        <v>99</v>
      </c>
      <c r="C100" t="n">
        <v>30218</v>
      </c>
      <c r="D100" t="n">
        <v>10030</v>
      </c>
      <c r="E100" t="n">
        <v>4061</v>
      </c>
      <c r="F100" t="n">
        <v>9.9687</v>
      </c>
      <c r="G100" s="30" t="n">
        <v>0.002064</v>
      </c>
      <c r="H100" s="14" t="n">
        <v>0.6645</v>
      </c>
      <c r="I100" t="n">
        <v>0.331921</v>
      </c>
      <c r="J100" t="n">
        <v>0.4049</v>
      </c>
      <c r="K100" t="n">
        <v>0.002455</v>
      </c>
      <c r="L100" t="n">
        <v>0.5679999999999999</v>
      </c>
      <c r="M100" t="n">
        <v>2.9675</v>
      </c>
      <c r="N100" t="n">
        <v>1.6854</v>
      </c>
      <c r="O100" t="inlineStr">
        <is>
          <t>PROTECT</t>
        </is>
      </c>
    </row>
    <row r="101">
      <c r="A101" t="n">
        <v>20730227</v>
      </c>
      <c r="B101" t="n">
        <v>100</v>
      </c>
      <c r="C101" t="n">
        <v>14033</v>
      </c>
      <c r="D101" t="n">
        <v>4299</v>
      </c>
      <c r="E101" t="n">
        <v>81</v>
      </c>
      <c r="F101" t="n">
        <v>9.846399999999999</v>
      </c>
      <c r="G101" s="30" t="n">
        <v>0.002039</v>
      </c>
      <c r="H101" s="14" t="n">
        <v>0.6665</v>
      </c>
      <c r="I101" t="n">
        <v>0.306349</v>
      </c>
      <c r="J101" t="n">
        <v>0.0188</v>
      </c>
      <c r="K101" t="n">
        <v>0.121561</v>
      </c>
      <c r="L101" t="n">
        <v>0.6287</v>
      </c>
      <c r="M101" t="n">
        <v>2.7807</v>
      </c>
      <c r="N101" t="n">
        <v>1.7483</v>
      </c>
      <c r="O101" t="inlineStr">
        <is>
          <t>FIX</t>
        </is>
      </c>
    </row>
    <row r="102">
      <c r="A102" t="n">
        <v>9500303</v>
      </c>
      <c r="B102" t="n">
        <v>101</v>
      </c>
      <c r="C102" t="n">
        <v>11140</v>
      </c>
      <c r="D102" t="n">
        <v>5425</v>
      </c>
      <c r="E102" t="n">
        <v>284</v>
      </c>
      <c r="F102" t="n">
        <v>9.841200000000001</v>
      </c>
      <c r="G102" s="30" t="n">
        <v>0.002038</v>
      </c>
      <c r="H102" s="14" t="n">
        <v>0.6686</v>
      </c>
      <c r="I102" t="n">
        <v>0.486984</v>
      </c>
      <c r="J102" t="n">
        <v>0.0524</v>
      </c>
      <c r="K102" t="n">
        <v>0.034652</v>
      </c>
      <c r="L102" t="n">
        <v>1.1725</v>
      </c>
      <c r="M102" t="n">
        <v>1.9276</v>
      </c>
      <c r="N102" t="n">
        <v>2.2602</v>
      </c>
      <c r="O102" t="inlineStr">
        <is>
          <t>FIX</t>
        </is>
      </c>
    </row>
    <row r="103">
      <c r="A103" t="n">
        <v>26891650</v>
      </c>
      <c r="B103" t="n">
        <v>102</v>
      </c>
      <c r="C103" t="n">
        <v>30922</v>
      </c>
      <c r="D103" t="n">
        <v>10998</v>
      </c>
      <c r="E103" t="n">
        <v>4390</v>
      </c>
      <c r="F103" t="n">
        <v>9.8056</v>
      </c>
      <c r="G103" s="30" t="n">
        <v>0.00203</v>
      </c>
      <c r="H103" s="14" t="n">
        <v>0.6706</v>
      </c>
      <c r="I103" t="n">
        <v>0.355669</v>
      </c>
      <c r="J103" t="n">
        <v>0.3992</v>
      </c>
      <c r="K103" t="n">
        <v>0.002234</v>
      </c>
      <c r="L103" t="n">
        <v>1.3449</v>
      </c>
      <c r="M103" t="n">
        <v>1.4259</v>
      </c>
      <c r="N103" t="n">
        <v>1.9178</v>
      </c>
      <c r="O103" t="inlineStr">
        <is>
          <t>PROTECT</t>
        </is>
      </c>
    </row>
    <row r="104">
      <c r="A104" t="n">
        <v>6686703</v>
      </c>
      <c r="B104" t="n">
        <v>103</v>
      </c>
      <c r="C104" t="n">
        <v>17029</v>
      </c>
      <c r="D104" t="n">
        <v>5948</v>
      </c>
      <c r="E104" t="n">
        <v>505</v>
      </c>
      <c r="F104" t="n">
        <v>9.6671</v>
      </c>
      <c r="G104" s="30" t="n">
        <v>0.002002</v>
      </c>
      <c r="H104" s="14" t="n">
        <v>0.6726</v>
      </c>
      <c r="I104" t="n">
        <v>0.349287</v>
      </c>
      <c r="J104" t="n">
        <v>0.0849</v>
      </c>
      <c r="K104" t="n">
        <v>0.019143</v>
      </c>
      <c r="L104" t="n">
        <v>0.8615</v>
      </c>
      <c r="M104" t="n">
        <v>2.039</v>
      </c>
      <c r="N104" t="n">
        <v>1.7566</v>
      </c>
      <c r="O104" t="inlineStr">
        <is>
          <t>FIX</t>
        </is>
      </c>
    </row>
    <row r="105">
      <c r="A105" t="n">
        <v>12700454</v>
      </c>
      <c r="B105" t="n">
        <v>104</v>
      </c>
      <c r="C105" t="n">
        <v>38880</v>
      </c>
      <c r="D105" t="n">
        <v>15833</v>
      </c>
      <c r="E105" t="n">
        <v>868</v>
      </c>
      <c r="F105" t="n">
        <v>9.653700000000001</v>
      </c>
      <c r="G105" s="30" t="n">
        <v>0.001999</v>
      </c>
      <c r="H105" s="14" t="n">
        <v>0.6746</v>
      </c>
      <c r="I105" t="n">
        <v>0.407227</v>
      </c>
      <c r="J105" t="n">
        <v>0.0548</v>
      </c>
      <c r="K105" t="n">
        <v>0.011122</v>
      </c>
      <c r="L105" t="n">
        <v>0.9782999999999999</v>
      </c>
      <c r="M105" t="n">
        <v>3.2508</v>
      </c>
      <c r="N105" t="n">
        <v>3.1802</v>
      </c>
      <c r="O105" t="inlineStr">
        <is>
          <t>PROTECT</t>
        </is>
      </c>
    </row>
    <row r="106">
      <c r="A106" t="n">
        <v>14102485</v>
      </c>
      <c r="B106" t="n">
        <v>105</v>
      </c>
      <c r="C106" t="n">
        <v>13462</v>
      </c>
      <c r="D106" t="n">
        <v>4068</v>
      </c>
      <c r="E106" t="n">
        <v>55</v>
      </c>
      <c r="F106" t="n">
        <v>9.6311</v>
      </c>
      <c r="G106" s="30" t="n">
        <v>0.001994</v>
      </c>
      <c r="H106" s="14" t="n">
        <v>0.6766</v>
      </c>
      <c r="I106" t="n">
        <v>0.302184</v>
      </c>
      <c r="J106" t="n">
        <v>0.0135</v>
      </c>
      <c r="K106" t="n">
        <v>0.175111</v>
      </c>
      <c r="L106" t="n">
        <v>0.8226</v>
      </c>
      <c r="M106" t="n">
        <v>2.4795</v>
      </c>
      <c r="N106" t="n">
        <v>2.0396</v>
      </c>
      <c r="O106" t="inlineStr">
        <is>
          <t>FIX</t>
        </is>
      </c>
    </row>
    <row r="107">
      <c r="A107" t="n">
        <v>8892341</v>
      </c>
      <c r="B107" t="n">
        <v>106</v>
      </c>
      <c r="C107" t="n">
        <v>26370</v>
      </c>
      <c r="D107" t="n">
        <v>7950</v>
      </c>
      <c r="E107" t="n">
        <v>780</v>
      </c>
      <c r="F107" t="n">
        <v>9.6196</v>
      </c>
      <c r="G107" s="30" t="n">
        <v>0.001992</v>
      </c>
      <c r="H107" s="14" t="n">
        <v>0.6786</v>
      </c>
      <c r="I107" t="n">
        <v>0.301479</v>
      </c>
      <c r="J107" t="n">
        <v>0.09810000000000001</v>
      </c>
      <c r="K107" t="n">
        <v>0.012333</v>
      </c>
      <c r="L107" t="n">
        <v>1.7037</v>
      </c>
      <c r="M107" t="n">
        <v>1.6402</v>
      </c>
      <c r="N107" t="n">
        <v>2.7945</v>
      </c>
      <c r="O107" t="inlineStr">
        <is>
          <t>PROTECT</t>
        </is>
      </c>
    </row>
    <row r="108">
      <c r="A108" t="n">
        <v>30175072</v>
      </c>
      <c r="B108" t="n">
        <v>107</v>
      </c>
      <c r="C108" t="n">
        <v>17378</v>
      </c>
      <c r="D108" t="n">
        <v>5581</v>
      </c>
      <c r="E108" t="n">
        <v>340</v>
      </c>
      <c r="F108" t="n">
        <v>9.610900000000001</v>
      </c>
      <c r="G108" s="30" t="n">
        <v>0.00199</v>
      </c>
      <c r="H108" s="14" t="n">
        <v>0.6806</v>
      </c>
      <c r="I108" t="n">
        <v>0.321153</v>
      </c>
      <c r="J108" t="n">
        <v>0.0609</v>
      </c>
      <c r="K108" t="n">
        <v>0.028267</v>
      </c>
      <c r="L108" t="n">
        <v>0.5453</v>
      </c>
      <c r="M108" t="n">
        <v>2.8129</v>
      </c>
      <c r="N108" t="n">
        <v>1.5339</v>
      </c>
      <c r="O108" t="inlineStr">
        <is>
          <t>FIX</t>
        </is>
      </c>
    </row>
    <row r="109">
      <c r="A109" t="n">
        <v>8980571</v>
      </c>
      <c r="B109" t="n">
        <v>108</v>
      </c>
      <c r="C109" t="n">
        <v>62535</v>
      </c>
      <c r="D109" t="n">
        <v>22900</v>
      </c>
      <c r="E109" t="n">
        <v>1340</v>
      </c>
      <c r="F109" t="n">
        <v>9.511799999999999</v>
      </c>
      <c r="G109" s="30" t="n">
        <v>0.00197</v>
      </c>
      <c r="H109" s="14" t="n">
        <v>0.6825</v>
      </c>
      <c r="I109" t="n">
        <v>0.366195</v>
      </c>
      <c r="J109" t="n">
        <v>0.0585</v>
      </c>
      <c r="K109" t="n">
        <v>0.007098</v>
      </c>
      <c r="L109" t="n">
        <v>0.775</v>
      </c>
      <c r="M109" t="n">
        <v>2.3002</v>
      </c>
      <c r="N109" t="n">
        <v>1.7827</v>
      </c>
      <c r="O109" t="inlineStr">
        <is>
          <t>PROTECT</t>
        </is>
      </c>
    </row>
    <row r="110">
      <c r="A110" t="n">
        <v>18095238</v>
      </c>
      <c r="B110" t="n">
        <v>109</v>
      </c>
      <c r="C110" t="n">
        <v>29947</v>
      </c>
      <c r="D110" t="n">
        <v>7824</v>
      </c>
      <c r="E110" t="n">
        <v>138</v>
      </c>
      <c r="F110" t="n">
        <v>9.3729</v>
      </c>
      <c r="G110" s="30" t="n">
        <v>0.001941</v>
      </c>
      <c r="H110" s="14" t="n">
        <v>0.6845</v>
      </c>
      <c r="I110" t="n">
        <v>0.261262</v>
      </c>
      <c r="J110" t="n">
        <v>0.0176</v>
      </c>
      <c r="K110" t="n">
        <v>0.06791899999999999</v>
      </c>
      <c r="L110" t="n">
        <v>1.5205</v>
      </c>
      <c r="M110" t="n">
        <v>1.7608</v>
      </c>
      <c r="N110" t="n">
        <v>2.6773</v>
      </c>
      <c r="O110" t="inlineStr">
        <is>
          <t>FIX</t>
        </is>
      </c>
    </row>
    <row r="111">
      <c r="A111" t="n">
        <v>27729624</v>
      </c>
      <c r="B111" t="n">
        <v>110</v>
      </c>
      <c r="C111" t="n">
        <v>23205</v>
      </c>
      <c r="D111" t="n">
        <v>7636</v>
      </c>
      <c r="E111" t="n">
        <v>256</v>
      </c>
      <c r="F111" t="n">
        <v>9.3218</v>
      </c>
      <c r="G111" s="30" t="n">
        <v>0.00193</v>
      </c>
      <c r="H111" s="14" t="n">
        <v>0.6864</v>
      </c>
      <c r="I111" t="n">
        <v>0.329067</v>
      </c>
      <c r="J111" t="n">
        <v>0.0335</v>
      </c>
      <c r="K111" t="n">
        <v>0.036413</v>
      </c>
      <c r="L111" t="n">
        <v>0.7244</v>
      </c>
      <c r="M111" t="n">
        <v>2.5445</v>
      </c>
      <c r="N111" t="n">
        <v>1.8433</v>
      </c>
      <c r="O111" t="inlineStr">
        <is>
          <t>FIX</t>
        </is>
      </c>
    </row>
    <row r="112">
      <c r="A112" t="n">
        <v>4828346</v>
      </c>
      <c r="B112" t="n">
        <v>111</v>
      </c>
      <c r="C112" t="n">
        <v>37316</v>
      </c>
      <c r="D112" t="n">
        <v>9712</v>
      </c>
      <c r="E112" t="n">
        <v>286</v>
      </c>
      <c r="F112" t="n">
        <v>9.274100000000001</v>
      </c>
      <c r="G112" s="30" t="n">
        <v>0.00192</v>
      </c>
      <c r="H112" s="14" t="n">
        <v>0.6883</v>
      </c>
      <c r="I112" t="n">
        <v>0.260264</v>
      </c>
      <c r="J112" t="n">
        <v>0.0294</v>
      </c>
      <c r="K112" t="n">
        <v>0.032427</v>
      </c>
      <c r="L112" t="n">
        <v>0.4087</v>
      </c>
      <c r="M112" t="n">
        <v>4.1657</v>
      </c>
      <c r="N112" t="n">
        <v>1.7027</v>
      </c>
      <c r="O112" t="inlineStr">
        <is>
          <t>FIX</t>
        </is>
      </c>
    </row>
    <row r="113">
      <c r="A113" t="n">
        <v>32009848</v>
      </c>
      <c r="B113" t="n">
        <v>112</v>
      </c>
      <c r="C113" t="n">
        <v>133533</v>
      </c>
      <c r="D113" t="n">
        <v>32763</v>
      </c>
      <c r="E113" t="n">
        <v>590</v>
      </c>
      <c r="F113" t="n">
        <v>9.257899999999999</v>
      </c>
      <c r="G113" s="30" t="n">
        <v>0.001917</v>
      </c>
      <c r="H113" s="14" t="n">
        <v>0.6902</v>
      </c>
      <c r="I113" t="n">
        <v>0.245355</v>
      </c>
      <c r="J113" t="n">
        <v>0.018</v>
      </c>
      <c r="K113" t="n">
        <v>0.015691</v>
      </c>
      <c r="L113" t="n">
        <v>1.209</v>
      </c>
      <c r="M113" t="n">
        <v>1.9213</v>
      </c>
      <c r="N113" t="n">
        <v>2.323</v>
      </c>
      <c r="O113" t="inlineStr">
        <is>
          <t>PROTECT</t>
        </is>
      </c>
    </row>
    <row r="114">
      <c r="A114" t="n">
        <v>2716286</v>
      </c>
      <c r="B114" t="n">
        <v>113</v>
      </c>
      <c r="C114" t="n">
        <v>36531</v>
      </c>
      <c r="D114" t="n">
        <v>14389</v>
      </c>
      <c r="E114" t="n">
        <v>213</v>
      </c>
      <c r="F114" t="n">
        <v>9.248799999999999</v>
      </c>
      <c r="G114" s="30" t="n">
        <v>0.001915</v>
      </c>
      <c r="H114" s="14" t="n">
        <v>0.6922</v>
      </c>
      <c r="I114" t="n">
        <v>0.393885</v>
      </c>
      <c r="J114" t="n">
        <v>0.0148</v>
      </c>
      <c r="K114" t="n">
        <v>0.043422</v>
      </c>
      <c r="L114" t="n">
        <v>1.346</v>
      </c>
      <c r="M114" t="n">
        <v>1.7316</v>
      </c>
      <c r="N114" t="n">
        <v>2.3308</v>
      </c>
      <c r="O114" t="inlineStr">
        <is>
          <t>FIX</t>
        </is>
      </c>
    </row>
    <row r="115">
      <c r="A115" t="n">
        <v>16321090</v>
      </c>
      <c r="B115" t="n">
        <v>114</v>
      </c>
      <c r="C115" t="n">
        <v>28296</v>
      </c>
      <c r="D115" t="n">
        <v>7129</v>
      </c>
      <c r="E115" t="n">
        <v>194</v>
      </c>
      <c r="F115" t="n">
        <v>9.1343</v>
      </c>
      <c r="G115" s="30" t="n">
        <v>0.001891</v>
      </c>
      <c r="H115" s="14" t="n">
        <v>0.6941000000000001</v>
      </c>
      <c r="I115" t="n">
        <v>0.251944</v>
      </c>
      <c r="J115" t="n">
        <v>0.0272</v>
      </c>
      <c r="K115" t="n">
        <v>0.047084</v>
      </c>
      <c r="L115" t="n">
        <v>1.4287</v>
      </c>
      <c r="M115" t="n">
        <v>1.6501</v>
      </c>
      <c r="N115" t="n">
        <v>2.3575</v>
      </c>
      <c r="O115" t="inlineStr">
        <is>
          <t>FIX</t>
        </is>
      </c>
    </row>
    <row r="116">
      <c r="A116" t="n">
        <v>24126625</v>
      </c>
      <c r="B116" t="n">
        <v>115</v>
      </c>
      <c r="C116" t="n">
        <v>53878</v>
      </c>
      <c r="D116" t="n">
        <v>27649</v>
      </c>
      <c r="E116" t="n">
        <v>951</v>
      </c>
      <c r="F116" t="n">
        <v>9.070600000000001</v>
      </c>
      <c r="G116" s="30" t="n">
        <v>0.001878</v>
      </c>
      <c r="H116" s="14" t="n">
        <v>0.6959</v>
      </c>
      <c r="I116" t="n">
        <v>0.513178</v>
      </c>
      <c r="J116" t="n">
        <v>0.0344</v>
      </c>
      <c r="K116" t="n">
        <v>0.009538</v>
      </c>
      <c r="L116" t="n">
        <v>1.2211</v>
      </c>
      <c r="M116" t="n">
        <v>1.9331</v>
      </c>
      <c r="N116" t="n">
        <v>2.3605</v>
      </c>
      <c r="O116" t="inlineStr">
        <is>
          <t>PROTECT</t>
        </is>
      </c>
    </row>
    <row r="117">
      <c r="A117" t="n">
        <v>12289574</v>
      </c>
      <c r="B117" t="n">
        <v>116</v>
      </c>
      <c r="C117" t="n">
        <v>42523</v>
      </c>
      <c r="D117" t="n">
        <v>15615</v>
      </c>
      <c r="E117" t="n">
        <v>106</v>
      </c>
      <c r="F117" t="n">
        <v>8.966900000000001</v>
      </c>
      <c r="G117" s="30" t="n">
        <v>0.001857</v>
      </c>
      <c r="H117" s="14" t="n">
        <v>0.6978</v>
      </c>
      <c r="I117" t="n">
        <v>0.367213</v>
      </c>
      <c r="J117" t="n">
        <v>0.0068</v>
      </c>
      <c r="K117" t="n">
        <v>0.084594</v>
      </c>
      <c r="L117" t="n">
        <v>0.9419</v>
      </c>
      <c r="M117" t="n">
        <v>2.3643</v>
      </c>
      <c r="N117" t="n">
        <v>2.2269</v>
      </c>
      <c r="O117" t="inlineStr">
        <is>
          <t>FIX</t>
        </is>
      </c>
    </row>
    <row r="118">
      <c r="A118" t="n">
        <v>18975813</v>
      </c>
      <c r="B118" t="n">
        <v>117</v>
      </c>
      <c r="C118" t="n">
        <v>45793</v>
      </c>
      <c r="D118" t="n">
        <v>18103</v>
      </c>
      <c r="E118" t="n">
        <v>1037</v>
      </c>
      <c r="F118" t="n">
        <v>8.854100000000001</v>
      </c>
      <c r="G118" s="30" t="n">
        <v>0.001833</v>
      </c>
      <c r="H118" s="14" t="n">
        <v>0.6996</v>
      </c>
      <c r="I118" t="n">
        <v>0.395322</v>
      </c>
      <c r="J118" t="n">
        <v>0.0573</v>
      </c>
      <c r="K118" t="n">
        <v>0.008538</v>
      </c>
      <c r="L118" t="n">
        <v>1.2846</v>
      </c>
      <c r="M118" t="n">
        <v>1.3315</v>
      </c>
      <c r="N118" t="n">
        <v>1.7104</v>
      </c>
      <c r="O118" t="inlineStr">
        <is>
          <t>PROTECT</t>
        </is>
      </c>
    </row>
    <row r="119">
      <c r="A119" t="n">
        <v>2390251</v>
      </c>
      <c r="B119" t="n">
        <v>118</v>
      </c>
      <c r="C119" t="n">
        <v>48641</v>
      </c>
      <c r="D119" t="n">
        <v>15000</v>
      </c>
      <c r="E119" t="n">
        <v>613</v>
      </c>
      <c r="F119" t="n">
        <v>8.8346</v>
      </c>
      <c r="G119" s="30" t="n">
        <v>0.001829</v>
      </c>
      <c r="H119" s="14" t="n">
        <v>0.7014</v>
      </c>
      <c r="I119" t="n">
        <v>0.308382</v>
      </c>
      <c r="J119" t="n">
        <v>0.0409</v>
      </c>
      <c r="K119" t="n">
        <v>0.014412</v>
      </c>
      <c r="L119" t="n">
        <v>2.0914</v>
      </c>
      <c r="M119" t="n">
        <v>1.2102</v>
      </c>
      <c r="N119" t="n">
        <v>2.5311</v>
      </c>
      <c r="O119" t="inlineStr">
        <is>
          <t>PROTECT</t>
        </is>
      </c>
    </row>
    <row r="120">
      <c r="A120" t="n">
        <v>716288</v>
      </c>
      <c r="B120" t="n">
        <v>119</v>
      </c>
      <c r="C120" t="n">
        <v>57379</v>
      </c>
      <c r="D120" t="n">
        <v>18292</v>
      </c>
      <c r="E120" t="n">
        <v>228</v>
      </c>
      <c r="F120" t="n">
        <v>8.7666</v>
      </c>
      <c r="G120" s="30" t="n">
        <v>0.001815</v>
      </c>
      <c r="H120" s="14" t="n">
        <v>0.7033</v>
      </c>
      <c r="I120" t="n">
        <v>0.318793</v>
      </c>
      <c r="J120" t="n">
        <v>0.0125</v>
      </c>
      <c r="K120" t="n">
        <v>0.03845</v>
      </c>
      <c r="L120" t="n">
        <v>1.412</v>
      </c>
      <c r="M120" t="n">
        <v>1.7515</v>
      </c>
      <c r="N120" t="n">
        <v>2.4732</v>
      </c>
      <c r="O120" t="inlineStr">
        <is>
          <t>FIX</t>
        </is>
      </c>
    </row>
    <row r="121">
      <c r="A121" t="n">
        <v>24316983</v>
      </c>
      <c r="B121" t="n">
        <v>120</v>
      </c>
      <c r="C121" t="n">
        <v>35336</v>
      </c>
      <c r="D121" t="n">
        <v>15090</v>
      </c>
      <c r="E121" t="n">
        <v>1446</v>
      </c>
      <c r="F121" t="n">
        <v>8.7133</v>
      </c>
      <c r="G121" s="30" t="n">
        <v>0.001804</v>
      </c>
      <c r="H121" s="14" t="n">
        <v>0.7050999999999999</v>
      </c>
      <c r="I121" t="n">
        <v>0.427043</v>
      </c>
      <c r="J121" t="n">
        <v>0.0958</v>
      </c>
      <c r="K121" t="n">
        <v>0.006026</v>
      </c>
      <c r="L121" t="n">
        <v>0.9285</v>
      </c>
      <c r="M121" t="n">
        <v>2.1892</v>
      </c>
      <c r="N121" t="n">
        <v>2.0326</v>
      </c>
      <c r="O121" t="inlineStr">
        <is>
          <t>PROTECT</t>
        </is>
      </c>
    </row>
    <row r="122">
      <c r="A122" t="n">
        <v>13462158</v>
      </c>
      <c r="B122" t="n">
        <v>121</v>
      </c>
      <c r="C122" t="n">
        <v>18588</v>
      </c>
      <c r="D122" t="n">
        <v>5877</v>
      </c>
      <c r="E122" t="n">
        <v>414</v>
      </c>
      <c r="F122" t="n">
        <v>8.580299999999999</v>
      </c>
      <c r="G122" s="30" t="n">
        <v>0.001777</v>
      </c>
      <c r="H122" s="14" t="n">
        <v>0.7068</v>
      </c>
      <c r="I122" t="n">
        <v>0.316172</v>
      </c>
      <c r="J122" t="n">
        <v>0.0704</v>
      </c>
      <c r="K122" t="n">
        <v>0.020725</v>
      </c>
      <c r="L122" t="n">
        <v>0.829</v>
      </c>
      <c r="M122" t="n">
        <v>2.0809</v>
      </c>
      <c r="N122" t="n">
        <v>1.725</v>
      </c>
      <c r="O122" t="inlineStr">
        <is>
          <t>FIX</t>
        </is>
      </c>
    </row>
    <row r="123">
      <c r="A123" t="n">
        <v>7462178</v>
      </c>
      <c r="B123" t="n">
        <v>122</v>
      </c>
      <c r="C123" t="n">
        <v>15098</v>
      </c>
      <c r="D123" t="n">
        <v>4582</v>
      </c>
      <c r="E123" t="n">
        <v>39</v>
      </c>
      <c r="F123" t="n">
        <v>8.498699999999999</v>
      </c>
      <c r="G123" s="30" t="n">
        <v>0.00176</v>
      </c>
      <c r="H123" s="14" t="n">
        <v>0.7086</v>
      </c>
      <c r="I123" t="n">
        <v>0.303484</v>
      </c>
      <c r="J123" t="n">
        <v>0.008500000000000001</v>
      </c>
      <c r="K123" t="n">
        <v>0.217916</v>
      </c>
      <c r="L123" t="n">
        <v>0.7198</v>
      </c>
      <c r="M123" t="n">
        <v>2.1546</v>
      </c>
      <c r="N123" t="n">
        <v>1.5509</v>
      </c>
      <c r="O123" t="inlineStr">
        <is>
          <t>FIX</t>
        </is>
      </c>
    </row>
    <row r="124">
      <c r="A124" t="n">
        <v>9100690</v>
      </c>
      <c r="B124" t="n">
        <v>123</v>
      </c>
      <c r="C124" t="n">
        <v>41535</v>
      </c>
      <c r="D124" t="n">
        <v>12787</v>
      </c>
      <c r="E124" t="n">
        <v>4806</v>
      </c>
      <c r="F124" t="n">
        <v>8.494999999999999</v>
      </c>
      <c r="G124" s="30" t="n">
        <v>0.001759</v>
      </c>
      <c r="H124" s="14" t="n">
        <v>0.7104</v>
      </c>
      <c r="I124" t="n">
        <v>0.307861</v>
      </c>
      <c r="J124" t="n">
        <v>0.3759</v>
      </c>
      <c r="K124" t="n">
        <v>0.001768</v>
      </c>
      <c r="L124" t="n">
        <v>1.1541</v>
      </c>
      <c r="M124" t="n">
        <v>1.7453</v>
      </c>
      <c r="N124" t="n">
        <v>2.0143</v>
      </c>
      <c r="O124" t="inlineStr">
        <is>
          <t>PROTECT</t>
        </is>
      </c>
    </row>
    <row r="125">
      <c r="A125" t="n">
        <v>9097339</v>
      </c>
      <c r="B125" t="n">
        <v>124</v>
      </c>
      <c r="C125" t="n">
        <v>20835</v>
      </c>
      <c r="D125" t="n">
        <v>7781</v>
      </c>
      <c r="E125" t="n">
        <v>216</v>
      </c>
      <c r="F125" t="n">
        <v>8.4779</v>
      </c>
      <c r="G125" s="30" t="n">
        <v>0.001756</v>
      </c>
      <c r="H125" s="14" t="n">
        <v>0.7121</v>
      </c>
      <c r="I125" t="n">
        <v>0.373458</v>
      </c>
      <c r="J125" t="n">
        <v>0.0278</v>
      </c>
      <c r="K125" t="n">
        <v>0.03925</v>
      </c>
      <c r="L125" t="n">
        <v>0.4635</v>
      </c>
      <c r="M125" t="n">
        <v>2.1315</v>
      </c>
      <c r="N125" t="n">
        <v>0.9881</v>
      </c>
      <c r="O125" t="inlineStr">
        <is>
          <t>FIX</t>
        </is>
      </c>
    </row>
    <row r="126">
      <c r="A126" t="n">
        <v>13661597</v>
      </c>
      <c r="B126" t="n">
        <v>125</v>
      </c>
      <c r="C126" t="n">
        <v>41107</v>
      </c>
      <c r="D126" t="n">
        <v>14403</v>
      </c>
      <c r="E126" t="n">
        <v>260</v>
      </c>
      <c r="F126" t="n">
        <v>8.4117</v>
      </c>
      <c r="G126" s="30" t="n">
        <v>0.001742</v>
      </c>
      <c r="H126" s="14" t="n">
        <v>0.7139</v>
      </c>
      <c r="I126" t="n">
        <v>0.350378</v>
      </c>
      <c r="J126" t="n">
        <v>0.0181</v>
      </c>
      <c r="K126" t="n">
        <v>0.032353</v>
      </c>
      <c r="L126" t="n">
        <v>0.6637999999999999</v>
      </c>
      <c r="M126" t="n">
        <v>2.2819</v>
      </c>
      <c r="N126" t="n">
        <v>1.5146</v>
      </c>
      <c r="O126" t="inlineStr">
        <is>
          <t>FIX</t>
        </is>
      </c>
    </row>
    <row r="127">
      <c r="A127" t="n">
        <v>28874676</v>
      </c>
      <c r="B127" t="n">
        <v>126</v>
      </c>
      <c r="C127" t="n">
        <v>48067</v>
      </c>
      <c r="D127" t="n">
        <v>18497</v>
      </c>
      <c r="E127" t="n">
        <v>157</v>
      </c>
      <c r="F127" t="n">
        <v>8.3467</v>
      </c>
      <c r="G127" s="30" t="n">
        <v>0.001728</v>
      </c>
      <c r="H127" s="14" t="n">
        <v>0.7156</v>
      </c>
      <c r="I127" t="n">
        <v>0.384817</v>
      </c>
      <c r="J127" t="n">
        <v>0.008500000000000001</v>
      </c>
      <c r="K127" t="n">
        <v>0.053163</v>
      </c>
      <c r="L127" t="n">
        <v>0.5031</v>
      </c>
      <c r="M127" t="n">
        <v>2.8611</v>
      </c>
      <c r="N127" t="n">
        <v>1.4395</v>
      </c>
      <c r="O127" t="inlineStr">
        <is>
          <t>FIX</t>
        </is>
      </c>
    </row>
    <row r="128">
      <c r="A128" t="n">
        <v>1130498</v>
      </c>
      <c r="B128" t="n">
        <v>127</v>
      </c>
      <c r="C128" t="n">
        <v>23247</v>
      </c>
      <c r="D128" t="n">
        <v>7126</v>
      </c>
      <c r="E128" t="n">
        <v>152</v>
      </c>
      <c r="F128" t="n">
        <v>8.2194</v>
      </c>
      <c r="G128" s="30" t="n">
        <v>0.001702</v>
      </c>
      <c r="H128" s="14" t="n">
        <v>0.7173</v>
      </c>
      <c r="I128" t="n">
        <v>0.306534</v>
      </c>
      <c r="J128" t="n">
        <v>0.0213</v>
      </c>
      <c r="K128" t="n">
        <v>0.054075</v>
      </c>
      <c r="L128" t="n">
        <v>3.5566</v>
      </c>
      <c r="M128" t="n">
        <v>0.5334</v>
      </c>
      <c r="N128" t="n">
        <v>1.897</v>
      </c>
      <c r="O128" t="inlineStr">
        <is>
          <t>FIX</t>
        </is>
      </c>
    </row>
    <row r="129">
      <c r="A129" t="n">
        <v>32368241</v>
      </c>
      <c r="B129" t="n">
        <v>128</v>
      </c>
      <c r="C129" t="n">
        <v>30140</v>
      </c>
      <c r="D129" t="n">
        <v>8665</v>
      </c>
      <c r="E129" t="n">
        <v>521</v>
      </c>
      <c r="F129" t="n">
        <v>8.208399999999999</v>
      </c>
      <c r="G129" s="30" t="n">
        <v>0.0017</v>
      </c>
      <c r="H129" s="14" t="n">
        <v>0.719</v>
      </c>
      <c r="I129" t="n">
        <v>0.287492</v>
      </c>
      <c r="J129" t="n">
        <v>0.0601</v>
      </c>
      <c r="K129" t="n">
        <v>0.015755</v>
      </c>
      <c r="L129" t="n">
        <v>1.5929</v>
      </c>
      <c r="M129" t="n">
        <v>1.7203</v>
      </c>
      <c r="N129" t="n">
        <v>2.7403</v>
      </c>
      <c r="O129" t="inlineStr">
        <is>
          <t>PROTECT</t>
        </is>
      </c>
    </row>
    <row r="130">
      <c r="A130" t="n">
        <v>7828339</v>
      </c>
      <c r="B130" t="n">
        <v>129</v>
      </c>
      <c r="C130" t="n">
        <v>7603</v>
      </c>
      <c r="D130" t="n">
        <v>2413</v>
      </c>
      <c r="E130" t="n">
        <v>165</v>
      </c>
      <c r="F130" t="n">
        <v>8.193899999999999</v>
      </c>
      <c r="G130" s="30" t="n">
        <v>0.001697</v>
      </c>
      <c r="H130" s="14" t="n">
        <v>0.7207</v>
      </c>
      <c r="I130" t="n">
        <v>0.317375</v>
      </c>
      <c r="J130" t="n">
        <v>0.0684</v>
      </c>
      <c r="K130" t="n">
        <v>0.04966</v>
      </c>
      <c r="L130" t="n">
        <v>1.9671</v>
      </c>
      <c r="M130" t="n">
        <v>1.0768</v>
      </c>
      <c r="N130" t="n">
        <v>2.1182</v>
      </c>
      <c r="O130" t="inlineStr">
        <is>
          <t>FIX</t>
        </is>
      </c>
    </row>
    <row r="131">
      <c r="A131" t="n">
        <v>29345613</v>
      </c>
      <c r="B131" t="n">
        <v>130</v>
      </c>
      <c r="C131" t="n">
        <v>20671</v>
      </c>
      <c r="D131" t="n">
        <v>6270</v>
      </c>
      <c r="E131" t="n">
        <v>130</v>
      </c>
      <c r="F131" t="n">
        <v>8.1699</v>
      </c>
      <c r="G131" s="30" t="n">
        <v>0.001692</v>
      </c>
      <c r="H131" s="14" t="n">
        <v>0.7224</v>
      </c>
      <c r="I131" t="n">
        <v>0.303323</v>
      </c>
      <c r="J131" t="n">
        <v>0.0207</v>
      </c>
      <c r="K131" t="n">
        <v>0.062845</v>
      </c>
      <c r="L131" t="n">
        <v>1.8266</v>
      </c>
      <c r="M131" t="n">
        <v>1.2404</v>
      </c>
      <c r="N131" t="n">
        <v>2.2657</v>
      </c>
      <c r="O131" t="inlineStr">
        <is>
          <t>FIX</t>
        </is>
      </c>
    </row>
    <row r="132">
      <c r="A132" t="n">
        <v>16184517</v>
      </c>
      <c r="B132" t="n">
        <v>131</v>
      </c>
      <c r="C132" t="n">
        <v>56866</v>
      </c>
      <c r="D132" t="n">
        <v>14747</v>
      </c>
      <c r="E132" t="n">
        <v>9160</v>
      </c>
      <c r="F132" t="n">
        <v>8.138199999999999</v>
      </c>
      <c r="G132" s="30" t="n">
        <v>0.001685</v>
      </c>
      <c r="H132" s="14" t="n">
        <v>0.7241</v>
      </c>
      <c r="I132" t="n">
        <v>0.259329</v>
      </c>
      <c r="J132" t="n">
        <v>0.6211</v>
      </c>
      <c r="K132" t="n">
        <v>0.000888</v>
      </c>
      <c r="L132" t="n">
        <v>0.6881</v>
      </c>
      <c r="M132" t="n">
        <v>2.3386</v>
      </c>
      <c r="N132" t="n">
        <v>1.6092</v>
      </c>
      <c r="O132" t="inlineStr">
        <is>
          <t>PROTECT</t>
        </is>
      </c>
    </row>
    <row r="133">
      <c r="A133" t="n">
        <v>31129938</v>
      </c>
      <c r="B133" t="n">
        <v>132</v>
      </c>
      <c r="C133" t="n">
        <v>21258</v>
      </c>
      <c r="D133" t="n">
        <v>6616</v>
      </c>
      <c r="E133" t="n">
        <v>256</v>
      </c>
      <c r="F133" t="n">
        <v>8.0862</v>
      </c>
      <c r="G133" s="30" t="n">
        <v>0.001674</v>
      </c>
      <c r="H133" s="14" t="n">
        <v>0.7257</v>
      </c>
      <c r="I133" t="n">
        <v>0.311224</v>
      </c>
      <c r="J133" t="n">
        <v>0.0387</v>
      </c>
      <c r="K133" t="n">
        <v>0.031587</v>
      </c>
      <c r="L133" t="n">
        <v>1.0814</v>
      </c>
      <c r="M133" t="n">
        <v>1.8852</v>
      </c>
      <c r="N133" t="n">
        <v>2.0387</v>
      </c>
      <c r="O133" t="inlineStr">
        <is>
          <t>FIX</t>
        </is>
      </c>
    </row>
    <row r="134">
      <c r="A134" t="n">
        <v>23852343</v>
      </c>
      <c r="B134" t="n">
        <v>133</v>
      </c>
      <c r="C134" t="n">
        <v>11602</v>
      </c>
      <c r="D134" t="n">
        <v>4851</v>
      </c>
      <c r="E134" t="n">
        <v>262</v>
      </c>
      <c r="F134" t="n">
        <v>8.0794</v>
      </c>
      <c r="G134" s="30" t="n">
        <v>0.001673</v>
      </c>
      <c r="H134" s="14" t="n">
        <v>0.7274</v>
      </c>
      <c r="I134" t="n">
        <v>0.418118</v>
      </c>
      <c r="J134" t="n">
        <v>0.054</v>
      </c>
      <c r="K134" t="n">
        <v>0.030837</v>
      </c>
      <c r="L134" t="n">
        <v>0.3547</v>
      </c>
      <c r="M134" t="n">
        <v>2.6293</v>
      </c>
      <c r="N134" t="n">
        <v>0.9326</v>
      </c>
      <c r="O134" t="inlineStr">
        <is>
          <t>FIX</t>
        </is>
      </c>
    </row>
    <row r="135">
      <c r="A135" t="n">
        <v>6442596</v>
      </c>
      <c r="B135" t="n">
        <v>134</v>
      </c>
      <c r="C135" t="n">
        <v>23825</v>
      </c>
      <c r="D135" t="n">
        <v>5520</v>
      </c>
      <c r="E135" t="n">
        <v>580</v>
      </c>
      <c r="F135" t="n">
        <v>8.0167</v>
      </c>
      <c r="G135" s="30" t="n">
        <v>0.00166</v>
      </c>
      <c r="H135" s="14" t="n">
        <v>0.7291</v>
      </c>
      <c r="I135" t="n">
        <v>0.231689</v>
      </c>
      <c r="J135" t="n">
        <v>0.1051</v>
      </c>
      <c r="K135" t="n">
        <v>0.013822</v>
      </c>
      <c r="L135" t="n">
        <v>0.6949</v>
      </c>
      <c r="M135" t="n">
        <v>1.9621</v>
      </c>
      <c r="N135" t="n">
        <v>1.3635</v>
      </c>
      <c r="O135" t="inlineStr">
        <is>
          <t>PROTECT</t>
        </is>
      </c>
    </row>
    <row r="136">
      <c r="A136" t="n">
        <v>30752994</v>
      </c>
      <c r="B136" t="n">
        <v>135</v>
      </c>
      <c r="C136" t="n">
        <v>49911</v>
      </c>
      <c r="D136" t="n">
        <v>21745</v>
      </c>
      <c r="E136" t="n">
        <v>276</v>
      </c>
      <c r="F136" t="n">
        <v>8.0015</v>
      </c>
      <c r="G136" s="30" t="n">
        <v>0.001657</v>
      </c>
      <c r="H136" s="14" t="n">
        <v>0.7307</v>
      </c>
      <c r="I136" t="n">
        <v>0.435676</v>
      </c>
      <c r="J136" t="n">
        <v>0.0127</v>
      </c>
      <c r="K136" t="n">
        <v>0.028991</v>
      </c>
      <c r="L136" t="n">
        <v>1.0716</v>
      </c>
      <c r="M136" t="n">
        <v>1.7316</v>
      </c>
      <c r="N136" t="n">
        <v>1.8555</v>
      </c>
      <c r="O136" t="inlineStr">
        <is>
          <t>FIX</t>
        </is>
      </c>
    </row>
    <row r="137">
      <c r="A137" t="n">
        <v>15422821</v>
      </c>
      <c r="B137" t="n">
        <v>136</v>
      </c>
      <c r="C137" t="n">
        <v>24946</v>
      </c>
      <c r="D137" t="n">
        <v>10205</v>
      </c>
      <c r="E137" t="n">
        <v>815</v>
      </c>
      <c r="F137" t="n">
        <v>7.9053</v>
      </c>
      <c r="G137" s="30" t="n">
        <v>0.001637</v>
      </c>
      <c r="H137" s="14" t="n">
        <v>0.7324000000000001</v>
      </c>
      <c r="I137" t="n">
        <v>0.409084</v>
      </c>
      <c r="J137" t="n">
        <v>0.0799</v>
      </c>
      <c r="K137" t="n">
        <v>0.0097</v>
      </c>
      <c r="L137" t="n">
        <v>1.206</v>
      </c>
      <c r="M137" t="n">
        <v>1.6</v>
      </c>
      <c r="N137" t="n">
        <v>1.9296</v>
      </c>
      <c r="O137" t="inlineStr">
        <is>
          <t>PROTECT</t>
        </is>
      </c>
    </row>
    <row r="138">
      <c r="A138" t="n">
        <v>3291800</v>
      </c>
      <c r="B138" t="n">
        <v>137</v>
      </c>
      <c r="C138" t="n">
        <v>25744</v>
      </c>
      <c r="D138" t="n">
        <v>8787</v>
      </c>
      <c r="E138" t="n">
        <v>233</v>
      </c>
      <c r="F138" t="n">
        <v>7.6703</v>
      </c>
      <c r="G138" s="30" t="n">
        <v>0.001588</v>
      </c>
      <c r="H138" s="14" t="n">
        <v>0.734</v>
      </c>
      <c r="I138" t="n">
        <v>0.341322</v>
      </c>
      <c r="J138" t="n">
        <v>0.0265</v>
      </c>
      <c r="K138" t="n">
        <v>0.03292</v>
      </c>
      <c r="L138" t="n">
        <v>0.8732</v>
      </c>
      <c r="M138" t="n">
        <v>1.9918</v>
      </c>
      <c r="N138" t="n">
        <v>1.7394</v>
      </c>
      <c r="O138" t="inlineStr">
        <is>
          <t>FIX</t>
        </is>
      </c>
    </row>
    <row r="139">
      <c r="A139" t="n">
        <v>2736605</v>
      </c>
      <c r="B139" t="n">
        <v>138</v>
      </c>
      <c r="C139" t="n">
        <v>35116</v>
      </c>
      <c r="D139" t="n">
        <v>15394</v>
      </c>
      <c r="E139" t="n">
        <v>790</v>
      </c>
      <c r="F139" t="n">
        <v>7.6686</v>
      </c>
      <c r="G139" s="30" t="n">
        <v>0.001588</v>
      </c>
      <c r="H139" s="14" t="n">
        <v>0.7355</v>
      </c>
      <c r="I139" t="n">
        <v>0.438376</v>
      </c>
      <c r="J139" t="n">
        <v>0.0513</v>
      </c>
      <c r="K139" t="n">
        <v>0.009707</v>
      </c>
      <c r="L139" t="n">
        <v>1.5513</v>
      </c>
      <c r="M139" t="n">
        <v>1.2365</v>
      </c>
      <c r="N139" t="n">
        <v>1.9182</v>
      </c>
      <c r="O139" t="inlineStr">
        <is>
          <t>PROTECT</t>
        </is>
      </c>
    </row>
    <row r="140">
      <c r="A140" t="n">
        <v>28920697</v>
      </c>
      <c r="B140" t="n">
        <v>139</v>
      </c>
      <c r="C140" t="n">
        <v>18393</v>
      </c>
      <c r="D140" t="n">
        <v>9677</v>
      </c>
      <c r="E140" t="n">
        <v>562</v>
      </c>
      <c r="F140" t="n">
        <v>7.6448</v>
      </c>
      <c r="G140" s="30" t="n">
        <v>0.001583</v>
      </c>
      <c r="H140" s="14" t="n">
        <v>0.7371</v>
      </c>
      <c r="I140" t="n">
        <v>0.526124</v>
      </c>
      <c r="J140" t="n">
        <v>0.0581</v>
      </c>
      <c r="K140" t="n">
        <v>0.013603</v>
      </c>
      <c r="L140" t="n">
        <v>2.6163</v>
      </c>
      <c r="M140" t="n">
        <v>0.8567</v>
      </c>
      <c r="N140" t="n">
        <v>2.2413</v>
      </c>
      <c r="O140" t="inlineStr">
        <is>
          <t>PROTECT</t>
        </is>
      </c>
    </row>
    <row r="141">
      <c r="A141" t="n">
        <v>804100</v>
      </c>
      <c r="B141" t="n">
        <v>140</v>
      </c>
      <c r="C141" t="n">
        <v>19100</v>
      </c>
      <c r="D141" t="n">
        <v>5698</v>
      </c>
      <c r="E141" t="n">
        <v>803</v>
      </c>
      <c r="F141" t="n">
        <v>7.638</v>
      </c>
      <c r="G141" s="30" t="n">
        <v>0.001582</v>
      </c>
      <c r="H141" s="14" t="n">
        <v>0.7387</v>
      </c>
      <c r="I141" t="n">
        <v>0.298325</v>
      </c>
      <c r="J141" t="n">
        <v>0.1409</v>
      </c>
      <c r="K141" t="n">
        <v>0.009512</v>
      </c>
      <c r="L141" t="n">
        <v>1.2616</v>
      </c>
      <c r="M141" t="n">
        <v>1.3939</v>
      </c>
      <c r="N141" t="n">
        <v>1.7584</v>
      </c>
      <c r="O141" t="inlineStr">
        <is>
          <t>PROTECT</t>
        </is>
      </c>
    </row>
    <row r="142">
      <c r="A142" t="n">
        <v>11289564</v>
      </c>
      <c r="B142" t="n">
        <v>141</v>
      </c>
      <c r="C142" t="n">
        <v>35239</v>
      </c>
      <c r="D142" t="n">
        <v>13353</v>
      </c>
      <c r="E142" t="n">
        <v>325</v>
      </c>
      <c r="F142" t="n">
        <v>7.626</v>
      </c>
      <c r="G142" s="30" t="n">
        <v>0.001579</v>
      </c>
      <c r="H142" s="14" t="n">
        <v>0.7403</v>
      </c>
      <c r="I142" t="n">
        <v>0.378927</v>
      </c>
      <c r="J142" t="n">
        <v>0.0243</v>
      </c>
      <c r="K142" t="n">
        <v>0.023465</v>
      </c>
      <c r="L142" t="n">
        <v>2.417</v>
      </c>
      <c r="M142" t="n">
        <v>0.9368</v>
      </c>
      <c r="N142" t="n">
        <v>2.2643</v>
      </c>
      <c r="O142" t="inlineStr">
        <is>
          <t>FIX</t>
        </is>
      </c>
    </row>
    <row r="143">
      <c r="A143" t="n">
        <v>23530192</v>
      </c>
      <c r="B143" t="n">
        <v>142</v>
      </c>
      <c r="C143" t="n">
        <v>15183</v>
      </c>
      <c r="D143" t="n">
        <v>6268</v>
      </c>
      <c r="E143" t="n">
        <v>137</v>
      </c>
      <c r="F143" t="n">
        <v>7.5913</v>
      </c>
      <c r="G143" s="30" t="n">
        <v>0.001572</v>
      </c>
      <c r="H143" s="14" t="n">
        <v>0.7419</v>
      </c>
      <c r="I143" t="n">
        <v>0.41283</v>
      </c>
      <c r="J143" t="n">
        <v>0.0219</v>
      </c>
      <c r="K143" t="n">
        <v>0.055411</v>
      </c>
      <c r="L143" t="n">
        <v>0.2827</v>
      </c>
      <c r="M143" t="n">
        <v>3.3253</v>
      </c>
      <c r="N143" t="n">
        <v>0.9399</v>
      </c>
      <c r="O143" t="inlineStr">
        <is>
          <t>FIX</t>
        </is>
      </c>
    </row>
    <row r="144">
      <c r="A144" t="n">
        <v>13166099</v>
      </c>
      <c r="B144" t="n">
        <v>143</v>
      </c>
      <c r="C144" t="n">
        <v>63938</v>
      </c>
      <c r="D144" t="n">
        <v>15092</v>
      </c>
      <c r="E144" t="n">
        <v>372</v>
      </c>
      <c r="F144" t="n">
        <v>7.4716</v>
      </c>
      <c r="G144" s="30" t="n">
        <v>0.001547</v>
      </c>
      <c r="H144" s="14" t="n">
        <v>0.7433999999999999</v>
      </c>
      <c r="I144" t="n">
        <v>0.236041</v>
      </c>
      <c r="J144" t="n">
        <v>0.0246</v>
      </c>
      <c r="K144" t="n">
        <v>0.020085</v>
      </c>
      <c r="L144" t="n">
        <v>0.522</v>
      </c>
      <c r="M144" t="n">
        <v>2.1611</v>
      </c>
      <c r="N144" t="n">
        <v>1.1282</v>
      </c>
      <c r="O144" t="inlineStr">
        <is>
          <t>FIX</t>
        </is>
      </c>
    </row>
    <row r="145">
      <c r="A145" t="n">
        <v>3828354</v>
      </c>
      <c r="B145" t="n">
        <v>144</v>
      </c>
      <c r="C145" t="n">
        <v>18815</v>
      </c>
      <c r="D145" t="n">
        <v>5877</v>
      </c>
      <c r="E145" t="n">
        <v>729</v>
      </c>
      <c r="F145" t="n">
        <v>7.3969</v>
      </c>
      <c r="G145" s="30" t="n">
        <v>0.001532</v>
      </c>
      <c r="H145" s="14" t="n">
        <v>0.7449</v>
      </c>
      <c r="I145" t="n">
        <v>0.312357</v>
      </c>
      <c r="J145" t="n">
        <v>0.124</v>
      </c>
      <c r="K145" t="n">
        <v>0.010147</v>
      </c>
      <c r="L145" t="n">
        <v>0.9196</v>
      </c>
      <c r="M145" t="n">
        <v>1.6258</v>
      </c>
      <c r="N145" t="n">
        <v>1.4951</v>
      </c>
      <c r="O145" t="inlineStr">
        <is>
          <t>PROTECT</t>
        </is>
      </c>
    </row>
    <row r="146">
      <c r="A146" t="n">
        <v>23852344</v>
      </c>
      <c r="B146" t="n">
        <v>145</v>
      </c>
      <c r="C146" t="n">
        <v>5322</v>
      </c>
      <c r="D146" t="n">
        <v>2413</v>
      </c>
      <c r="E146" t="n">
        <v>224</v>
      </c>
      <c r="F146" t="n">
        <v>7.3632</v>
      </c>
      <c r="G146" s="30" t="n">
        <v>0.001525</v>
      </c>
      <c r="H146" s="14" t="n">
        <v>0.7465000000000001</v>
      </c>
      <c r="I146" t="n">
        <v>0.453401</v>
      </c>
      <c r="J146" t="n">
        <v>0.09279999999999999</v>
      </c>
      <c r="K146" t="n">
        <v>0.032872</v>
      </c>
      <c r="L146" t="n">
        <v>0.9137999999999999</v>
      </c>
      <c r="M146" t="n">
        <v>1.8545</v>
      </c>
      <c r="N146" t="n">
        <v>1.6946</v>
      </c>
      <c r="O146" t="inlineStr">
        <is>
          <t>FIX</t>
        </is>
      </c>
    </row>
    <row r="147">
      <c r="A147" t="n">
        <v>15654890</v>
      </c>
      <c r="B147" t="n">
        <v>146</v>
      </c>
      <c r="C147" t="n">
        <v>66911</v>
      </c>
      <c r="D147" t="n">
        <v>22491</v>
      </c>
      <c r="E147" t="n">
        <v>316</v>
      </c>
      <c r="F147" t="n">
        <v>7.206</v>
      </c>
      <c r="G147" s="30" t="n">
        <v>0.001492</v>
      </c>
      <c r="H147" s="14" t="n">
        <v>0.748</v>
      </c>
      <c r="I147" t="n">
        <v>0.336133</v>
      </c>
      <c r="J147" t="n">
        <v>0.0141</v>
      </c>
      <c r="K147" t="n">
        <v>0.022804</v>
      </c>
      <c r="L147" t="n">
        <v>0.8615</v>
      </c>
      <c r="M147" t="n">
        <v>1.7167</v>
      </c>
      <c r="N147" t="n">
        <v>1.479</v>
      </c>
      <c r="O147" t="inlineStr">
        <is>
          <t>FIX</t>
        </is>
      </c>
    </row>
    <row r="148">
      <c r="A148" t="n">
        <v>14257845</v>
      </c>
      <c r="B148" t="n">
        <v>147</v>
      </c>
      <c r="C148" t="n">
        <v>18338</v>
      </c>
      <c r="D148" t="n">
        <v>7503</v>
      </c>
      <c r="E148" t="n">
        <v>329</v>
      </c>
      <c r="F148" t="n">
        <v>7.1727</v>
      </c>
      <c r="G148" s="30" t="n">
        <v>0.001485</v>
      </c>
      <c r="H148" s="14" t="n">
        <v>0.7494</v>
      </c>
      <c r="I148" t="n">
        <v>0.40915</v>
      </c>
      <c r="J148" t="n">
        <v>0.0438</v>
      </c>
      <c r="K148" t="n">
        <v>0.021801</v>
      </c>
      <c r="L148" t="n">
        <v>0.5054</v>
      </c>
      <c r="M148" t="n">
        <v>2.5032</v>
      </c>
      <c r="N148" t="n">
        <v>1.2652</v>
      </c>
      <c r="O148" t="inlineStr">
        <is>
          <t>FIX</t>
        </is>
      </c>
    </row>
    <row r="149">
      <c r="A149" t="n">
        <v>9100691</v>
      </c>
      <c r="B149" t="n">
        <v>148</v>
      </c>
      <c r="C149" t="n">
        <v>42272</v>
      </c>
      <c r="D149" t="n">
        <v>13765</v>
      </c>
      <c r="E149" t="n">
        <v>4398</v>
      </c>
      <c r="F149" t="n">
        <v>7.1032</v>
      </c>
      <c r="G149" s="30" t="n">
        <v>0.001471</v>
      </c>
      <c r="H149" s="14" t="n">
        <v>0.7509</v>
      </c>
      <c r="I149" t="n">
        <v>0.325629</v>
      </c>
      <c r="J149" t="n">
        <v>0.3195</v>
      </c>
      <c r="K149" t="n">
        <v>0.001615</v>
      </c>
      <c r="L149" t="n">
        <v>0.9137</v>
      </c>
      <c r="M149" t="n">
        <v>1.7085</v>
      </c>
      <c r="N149" t="n">
        <v>1.5611</v>
      </c>
      <c r="O149" t="inlineStr">
        <is>
          <t>PROTECT</t>
        </is>
      </c>
    </row>
    <row r="150">
      <c r="A150" t="n">
        <v>6210424</v>
      </c>
      <c r="B150" t="n">
        <v>149</v>
      </c>
      <c r="C150" t="n">
        <v>21533</v>
      </c>
      <c r="D150" t="n">
        <v>9509</v>
      </c>
      <c r="E150" t="n">
        <v>184</v>
      </c>
      <c r="F150" t="n">
        <v>7.0912</v>
      </c>
      <c r="G150" s="30" t="n">
        <v>0.001468</v>
      </c>
      <c r="H150" s="14" t="n">
        <v>0.7524</v>
      </c>
      <c r="I150" t="n">
        <v>0.441601</v>
      </c>
      <c r="J150" t="n">
        <v>0.0194</v>
      </c>
      <c r="K150" t="n">
        <v>0.038539</v>
      </c>
      <c r="L150" t="n">
        <v>0.8586</v>
      </c>
      <c r="M150" t="n">
        <v>1.7614</v>
      </c>
      <c r="N150" t="n">
        <v>1.5124</v>
      </c>
      <c r="O150" t="inlineStr">
        <is>
          <t>FIX</t>
        </is>
      </c>
    </row>
    <row r="151">
      <c r="A151" t="n">
        <v>4814007</v>
      </c>
      <c r="B151" t="n">
        <v>150</v>
      </c>
      <c r="C151" t="n">
        <v>48054</v>
      </c>
      <c r="D151" t="n">
        <v>16976</v>
      </c>
      <c r="E151" t="n">
        <v>184</v>
      </c>
      <c r="F151" t="n">
        <v>7.079</v>
      </c>
      <c r="G151" s="30" t="n">
        <v>0.001466</v>
      </c>
      <c r="H151" s="14" t="n">
        <v>0.7538</v>
      </c>
      <c r="I151" t="n">
        <v>0.353269</v>
      </c>
      <c r="J151" t="n">
        <v>0.0108</v>
      </c>
      <c r="K151" t="n">
        <v>0.038473</v>
      </c>
      <c r="L151" t="n">
        <v>2.2618</v>
      </c>
      <c r="M151" t="n">
        <v>0.7915</v>
      </c>
      <c r="N151" t="n">
        <v>1.7902</v>
      </c>
      <c r="O151" t="inlineStr">
        <is>
          <t>FIX</t>
        </is>
      </c>
    </row>
    <row r="152">
      <c r="A152" t="n">
        <v>30501159</v>
      </c>
      <c r="B152" t="n">
        <v>151</v>
      </c>
      <c r="C152" t="n">
        <v>12120</v>
      </c>
      <c r="D152" t="n">
        <v>4248</v>
      </c>
      <c r="E152" t="n">
        <v>299</v>
      </c>
      <c r="F152" t="n">
        <v>7.0375</v>
      </c>
      <c r="G152" s="30" t="n">
        <v>0.001457</v>
      </c>
      <c r="H152" s="14" t="n">
        <v>0.7553</v>
      </c>
      <c r="I152" t="n">
        <v>0.350495</v>
      </c>
      <c r="J152" t="n">
        <v>0.0704</v>
      </c>
      <c r="K152" t="n">
        <v>0.023537</v>
      </c>
      <c r="L152" t="n">
        <v>0.3226</v>
      </c>
      <c r="M152" t="n">
        <v>2.7337</v>
      </c>
      <c r="N152" t="n">
        <v>0.8818</v>
      </c>
      <c r="O152" t="inlineStr">
        <is>
          <t>FIX</t>
        </is>
      </c>
    </row>
    <row r="153">
      <c r="A153" t="n">
        <v>11500306</v>
      </c>
      <c r="B153" t="n">
        <v>152</v>
      </c>
      <c r="C153" t="n">
        <v>41625</v>
      </c>
      <c r="D153" t="n">
        <v>17663</v>
      </c>
      <c r="E153" t="n">
        <v>426</v>
      </c>
      <c r="F153" t="n">
        <v>7.0346</v>
      </c>
      <c r="G153" s="30" t="n">
        <v>0.001457</v>
      </c>
      <c r="H153" s="14" t="n">
        <v>0.7568</v>
      </c>
      <c r="I153" t="n">
        <v>0.424336</v>
      </c>
      <c r="J153" t="n">
        <v>0.0241</v>
      </c>
      <c r="K153" t="n">
        <v>0.016513</v>
      </c>
      <c r="L153" t="n">
        <v>1.0905</v>
      </c>
      <c r="M153" t="n">
        <v>1.471</v>
      </c>
      <c r="N153" t="n">
        <v>1.6041</v>
      </c>
      <c r="O153" t="inlineStr">
        <is>
          <t>PROTECT</t>
        </is>
      </c>
    </row>
    <row r="154">
      <c r="A154" t="n">
        <v>4406179</v>
      </c>
      <c r="B154" t="n">
        <v>153</v>
      </c>
      <c r="C154" t="n">
        <v>13924</v>
      </c>
      <c r="D154" t="n">
        <v>4387</v>
      </c>
      <c r="E154" t="n">
        <v>260</v>
      </c>
      <c r="F154" t="n">
        <v>6.9196</v>
      </c>
      <c r="G154" s="30" t="n">
        <v>0.001433</v>
      </c>
      <c r="H154" s="14" t="n">
        <v>0.7582</v>
      </c>
      <c r="I154" t="n">
        <v>0.315068</v>
      </c>
      <c r="J154" t="n">
        <v>0.0593</v>
      </c>
      <c r="K154" t="n">
        <v>0.026614</v>
      </c>
      <c r="L154" t="n">
        <v>1.2458</v>
      </c>
      <c r="M154" t="n">
        <v>1.2582</v>
      </c>
      <c r="N154" t="n">
        <v>1.5675</v>
      </c>
      <c r="O154" t="inlineStr">
        <is>
          <t>FIX</t>
        </is>
      </c>
    </row>
    <row r="155">
      <c r="A155" t="n">
        <v>22891673</v>
      </c>
      <c r="B155" t="n">
        <v>154</v>
      </c>
      <c r="C155" t="n">
        <v>9334</v>
      </c>
      <c r="D155" t="n">
        <v>3580</v>
      </c>
      <c r="E155" t="n">
        <v>342</v>
      </c>
      <c r="F155" t="n">
        <v>6.9164</v>
      </c>
      <c r="G155" s="30" t="n">
        <v>0.001432</v>
      </c>
      <c r="H155" s="14" t="n">
        <v>0.7596000000000001</v>
      </c>
      <c r="I155" t="n">
        <v>0.383544</v>
      </c>
      <c r="J155" t="n">
        <v>0.0955</v>
      </c>
      <c r="K155" t="n">
        <v>0.020223</v>
      </c>
      <c r="L155" t="n">
        <v>1.4784</v>
      </c>
      <c r="M155" t="n">
        <v>1.2358</v>
      </c>
      <c r="N155" t="n">
        <v>1.827</v>
      </c>
      <c r="O155" t="inlineStr">
        <is>
          <t>FIX</t>
        </is>
      </c>
    </row>
    <row r="156">
      <c r="A156" t="n">
        <v>22233130</v>
      </c>
      <c r="B156" t="n">
        <v>155</v>
      </c>
      <c r="C156" t="n">
        <v>17524</v>
      </c>
      <c r="D156" t="n">
        <v>7301</v>
      </c>
      <c r="E156" t="n">
        <v>31</v>
      </c>
      <c r="F156" t="n">
        <v>6.8869</v>
      </c>
      <c r="G156" s="30" t="n">
        <v>0.001426</v>
      </c>
      <c r="H156" s="14" t="n">
        <v>0.761</v>
      </c>
      <c r="I156" t="n">
        <v>0.416629</v>
      </c>
      <c r="J156" t="n">
        <v>0.0042</v>
      </c>
      <c r="K156" t="n">
        <v>0.222158</v>
      </c>
      <c r="L156" t="n">
        <v>1.7262</v>
      </c>
      <c r="M156" t="n">
        <v>1.3448</v>
      </c>
      <c r="N156" t="n">
        <v>2.3213</v>
      </c>
      <c r="O156" t="inlineStr">
        <is>
          <t>FIX</t>
        </is>
      </c>
    </row>
    <row r="157">
      <c r="A157" t="n">
        <v>8710017</v>
      </c>
      <c r="B157" t="n">
        <v>156</v>
      </c>
      <c r="C157" t="n">
        <v>17525</v>
      </c>
      <c r="D157" t="n">
        <v>6462</v>
      </c>
      <c r="E157" t="n">
        <v>362</v>
      </c>
      <c r="F157" t="n">
        <v>6.8445</v>
      </c>
      <c r="G157" s="30" t="n">
        <v>0.001417</v>
      </c>
      <c r="H157" s="14" t="n">
        <v>0.7625</v>
      </c>
      <c r="I157" t="n">
        <v>0.36873</v>
      </c>
      <c r="J157" t="n">
        <v>0.056</v>
      </c>
      <c r="K157" t="n">
        <v>0.018907</v>
      </c>
      <c r="L157" t="n">
        <v>1.031</v>
      </c>
      <c r="M157" t="n">
        <v>1.4728</v>
      </c>
      <c r="N157" t="n">
        <v>1.5185</v>
      </c>
      <c r="O157" t="inlineStr">
        <is>
          <t>FIX</t>
        </is>
      </c>
    </row>
    <row r="158">
      <c r="A158" t="n">
        <v>14576401</v>
      </c>
      <c r="B158" t="n">
        <v>157</v>
      </c>
      <c r="C158" t="n">
        <v>15752</v>
      </c>
      <c r="D158" t="n">
        <v>6390</v>
      </c>
      <c r="E158" t="n">
        <v>90</v>
      </c>
      <c r="F158" t="n">
        <v>6.8291</v>
      </c>
      <c r="G158" s="30" t="n">
        <v>0.001414</v>
      </c>
      <c r="H158" s="14" t="n">
        <v>0.7639</v>
      </c>
      <c r="I158" t="n">
        <v>0.405663</v>
      </c>
      <c r="J158" t="n">
        <v>0.0141</v>
      </c>
      <c r="K158" t="n">
        <v>0.075879</v>
      </c>
      <c r="L158" t="n">
        <v>0.9187</v>
      </c>
      <c r="M158" t="n">
        <v>1.6238</v>
      </c>
      <c r="N158" t="n">
        <v>1.4918</v>
      </c>
      <c r="O158" t="inlineStr">
        <is>
          <t>FIX</t>
        </is>
      </c>
    </row>
    <row r="159">
      <c r="A159" t="n">
        <v>25419531</v>
      </c>
      <c r="B159" t="n">
        <v>158</v>
      </c>
      <c r="C159" t="n">
        <v>52053</v>
      </c>
      <c r="D159" t="n">
        <v>18094</v>
      </c>
      <c r="E159" t="n">
        <v>350</v>
      </c>
      <c r="F159" t="n">
        <v>6.8141</v>
      </c>
      <c r="G159" s="30" t="n">
        <v>0.001411</v>
      </c>
      <c r="H159" s="14" t="n">
        <v>0.7653</v>
      </c>
      <c r="I159" t="n">
        <v>0.347607</v>
      </c>
      <c r="J159" t="n">
        <v>0.0193</v>
      </c>
      <c r="K159" t="n">
        <v>0.019469</v>
      </c>
      <c r="L159" t="n">
        <v>1.0441</v>
      </c>
      <c r="M159" t="n">
        <v>2.1853</v>
      </c>
      <c r="N159" t="n">
        <v>2.2816</v>
      </c>
      <c r="O159" t="inlineStr">
        <is>
          <t>FIX</t>
        </is>
      </c>
    </row>
    <row r="160">
      <c r="A160" t="n">
        <v>27777499</v>
      </c>
      <c r="B160" t="n">
        <v>159</v>
      </c>
      <c r="C160" t="n">
        <v>27804</v>
      </c>
      <c r="D160" t="n">
        <v>13982</v>
      </c>
      <c r="E160" t="n">
        <v>757</v>
      </c>
      <c r="F160" t="n">
        <v>6.8013</v>
      </c>
      <c r="G160" s="30" t="n">
        <v>0.001408</v>
      </c>
      <c r="H160" s="14" t="n">
        <v>0.7667</v>
      </c>
      <c r="I160" t="n">
        <v>0.502877</v>
      </c>
      <c r="J160" t="n">
        <v>0.0541</v>
      </c>
      <c r="K160" t="n">
        <v>0.008985</v>
      </c>
      <c r="L160" t="n">
        <v>0.8807</v>
      </c>
      <c r="M160" t="n">
        <v>1.6904</v>
      </c>
      <c r="N160" t="n">
        <v>1.4888</v>
      </c>
      <c r="O160" t="inlineStr">
        <is>
          <t>PROTECT</t>
        </is>
      </c>
    </row>
    <row r="161">
      <c r="A161" t="n">
        <v>17288254</v>
      </c>
      <c r="B161" t="n">
        <v>160</v>
      </c>
      <c r="C161" t="n">
        <v>37940</v>
      </c>
      <c r="D161" t="n">
        <v>14047</v>
      </c>
      <c r="E161" t="n">
        <v>222</v>
      </c>
      <c r="F161" t="n">
        <v>6.7878</v>
      </c>
      <c r="G161" s="30" t="n">
        <v>0.001406</v>
      </c>
      <c r="H161" s="14" t="n">
        <v>0.7681</v>
      </c>
      <c r="I161" t="n">
        <v>0.370242</v>
      </c>
      <c r="J161" t="n">
        <v>0.0158</v>
      </c>
      <c r="K161" t="n">
        <v>0.030576</v>
      </c>
      <c r="L161" t="n">
        <v>1.2031</v>
      </c>
      <c r="M161" t="n">
        <v>1.1785</v>
      </c>
      <c r="N161" t="n">
        <v>1.4179</v>
      </c>
      <c r="O161" t="inlineStr">
        <is>
          <t>FIX</t>
        </is>
      </c>
    </row>
    <row r="162">
      <c r="A162" t="n">
        <v>17288262</v>
      </c>
      <c r="B162" t="n">
        <v>161</v>
      </c>
      <c r="C162" t="n">
        <v>18009</v>
      </c>
      <c r="D162" t="n">
        <v>5211</v>
      </c>
      <c r="E162" t="n">
        <v>354</v>
      </c>
      <c r="F162" t="n">
        <v>6.7243</v>
      </c>
      <c r="G162" s="30" t="n">
        <v>0.001392</v>
      </c>
      <c r="H162" s="14" t="n">
        <v>0.7695</v>
      </c>
      <c r="I162" t="n">
        <v>0.289355</v>
      </c>
      <c r="J162" t="n">
        <v>0.0679</v>
      </c>
      <c r="K162" t="n">
        <v>0.018995</v>
      </c>
      <c r="L162" t="n">
        <v>0.4655</v>
      </c>
      <c r="M162" t="n">
        <v>2.6113</v>
      </c>
      <c r="N162" t="n">
        <v>1.2155</v>
      </c>
      <c r="O162" t="inlineStr">
        <is>
          <t>FIX</t>
        </is>
      </c>
    </row>
    <row r="163">
      <c r="A163" t="n">
        <v>12100671</v>
      </c>
      <c r="B163" t="n">
        <v>162</v>
      </c>
      <c r="C163" t="n">
        <v>39019</v>
      </c>
      <c r="D163" t="n">
        <v>12752</v>
      </c>
      <c r="E163" t="n">
        <v>169</v>
      </c>
      <c r="F163" t="n">
        <v>6.6834</v>
      </c>
      <c r="G163" s="30" t="n">
        <v>0.001384</v>
      </c>
      <c r="H163" s="14" t="n">
        <v>0.7709</v>
      </c>
      <c r="I163" t="n">
        <v>0.326815</v>
      </c>
      <c r="J163" t="n">
        <v>0.0133</v>
      </c>
      <c r="K163" t="n">
        <v>0.039547</v>
      </c>
      <c r="L163" t="n">
        <v>2.4871</v>
      </c>
      <c r="M163" t="n">
        <v>0.79</v>
      </c>
      <c r="N163" t="n">
        <v>1.9647</v>
      </c>
      <c r="O163" t="inlineStr">
        <is>
          <t>FIX</t>
        </is>
      </c>
    </row>
    <row r="164">
      <c r="A164" t="n">
        <v>9100692</v>
      </c>
      <c r="B164" t="n">
        <v>163</v>
      </c>
      <c r="C164" t="n">
        <v>40265</v>
      </c>
      <c r="D164" t="n">
        <v>14466</v>
      </c>
      <c r="E164" t="n">
        <v>6036</v>
      </c>
      <c r="F164" t="n">
        <v>6.6726</v>
      </c>
      <c r="G164" s="30" t="n">
        <v>0.001382</v>
      </c>
      <c r="H164" s="14" t="n">
        <v>0.7723</v>
      </c>
      <c r="I164" t="n">
        <v>0.35927</v>
      </c>
      <c r="J164" t="n">
        <v>0.4173</v>
      </c>
      <c r="K164" t="n">
        <v>0.001105</v>
      </c>
      <c r="L164" t="n">
        <v>1.1454</v>
      </c>
      <c r="M164" t="n">
        <v>1.6005</v>
      </c>
      <c r="N164" t="n">
        <v>1.8333</v>
      </c>
      <c r="O164" t="inlineStr">
        <is>
          <t>PROTECT</t>
        </is>
      </c>
    </row>
    <row r="165">
      <c r="A165" t="n">
        <v>12407222</v>
      </c>
      <c r="B165" t="n">
        <v>164</v>
      </c>
      <c r="C165" t="n">
        <v>10793</v>
      </c>
      <c r="D165" t="n">
        <v>5100</v>
      </c>
      <c r="E165" t="n">
        <v>353</v>
      </c>
      <c r="F165" t="n">
        <v>6.6575</v>
      </c>
      <c r="G165" s="30" t="n">
        <v>0.001379</v>
      </c>
      <c r="H165" s="14" t="n">
        <v>0.7736</v>
      </c>
      <c r="I165" t="n">
        <v>0.472528</v>
      </c>
      <c r="J165" t="n">
        <v>0.0692</v>
      </c>
      <c r="K165" t="n">
        <v>0.01886</v>
      </c>
      <c r="L165" t="n">
        <v>2.2287</v>
      </c>
      <c r="M165" t="n">
        <v>0.805</v>
      </c>
      <c r="N165" t="n">
        <v>1.7941</v>
      </c>
      <c r="O165" t="inlineStr">
        <is>
          <t>FIX</t>
        </is>
      </c>
    </row>
    <row r="166">
      <c r="A166" t="n">
        <v>5544859</v>
      </c>
      <c r="B166" t="n">
        <v>165</v>
      </c>
      <c r="C166" t="n">
        <v>50808</v>
      </c>
      <c r="D166" t="n">
        <v>26242</v>
      </c>
      <c r="E166" t="n">
        <v>6388</v>
      </c>
      <c r="F166" t="n">
        <v>6.6402</v>
      </c>
      <c r="G166" s="30" t="n">
        <v>0.001375</v>
      </c>
      <c r="H166" s="14" t="n">
        <v>0.775</v>
      </c>
      <c r="I166" t="n">
        <v>0.516493</v>
      </c>
      <c r="J166" t="n">
        <v>0.2434</v>
      </c>
      <c r="K166" t="n">
        <v>0.001039</v>
      </c>
      <c r="L166" t="n">
        <v>0.111</v>
      </c>
      <c r="M166" t="n">
        <v>2.0171</v>
      </c>
      <c r="N166" t="n">
        <v>0.2239</v>
      </c>
      <c r="O166" t="inlineStr">
        <is>
          <t>PROTECT</t>
        </is>
      </c>
    </row>
    <row r="167">
      <c r="A167" t="n">
        <v>7351509</v>
      </c>
      <c r="B167" t="n">
        <v>166</v>
      </c>
      <c r="C167" t="n">
        <v>6314</v>
      </c>
      <c r="D167" t="n">
        <v>2323</v>
      </c>
      <c r="E167" t="n">
        <v>168</v>
      </c>
      <c r="F167" t="n">
        <v>6.6178</v>
      </c>
      <c r="G167" s="30" t="n">
        <v>0.00137</v>
      </c>
      <c r="H167" s="14" t="n">
        <v>0.7764</v>
      </c>
      <c r="I167" t="n">
        <v>0.367913</v>
      </c>
      <c r="J167" t="n">
        <v>0.0723</v>
      </c>
      <c r="K167" t="n">
        <v>0.039392</v>
      </c>
      <c r="L167" t="n">
        <v>1.3882</v>
      </c>
      <c r="M167" t="n">
        <v>1.2908</v>
      </c>
      <c r="N167" t="n">
        <v>1.7918</v>
      </c>
      <c r="O167" t="inlineStr">
        <is>
          <t>FIX</t>
        </is>
      </c>
    </row>
    <row r="168">
      <c r="A168" t="n">
        <v>4869923</v>
      </c>
      <c r="B168" t="n">
        <v>167</v>
      </c>
      <c r="C168" t="n">
        <v>15033</v>
      </c>
      <c r="D168" t="n">
        <v>7822</v>
      </c>
      <c r="E168" t="n">
        <v>420</v>
      </c>
      <c r="F168" t="n">
        <v>6.6014</v>
      </c>
      <c r="G168" s="30" t="n">
        <v>0.001367</v>
      </c>
      <c r="H168" s="14" t="n">
        <v>0.7778</v>
      </c>
      <c r="I168" t="n">
        <v>0.520322</v>
      </c>
      <c r="J168" t="n">
        <v>0.0537</v>
      </c>
      <c r="K168" t="n">
        <v>0.015718</v>
      </c>
      <c r="L168" t="n">
        <v>1.084</v>
      </c>
      <c r="M168" t="n">
        <v>1.3695</v>
      </c>
      <c r="N168" t="n">
        <v>1.4846</v>
      </c>
      <c r="O168" t="inlineStr">
        <is>
          <t>PROTECT</t>
        </is>
      </c>
    </row>
    <row r="169">
      <c r="A169" t="n">
        <v>9095251</v>
      </c>
      <c r="B169" t="n">
        <v>168</v>
      </c>
      <c r="C169" t="n">
        <v>31811</v>
      </c>
      <c r="D169" t="n">
        <v>19456</v>
      </c>
      <c r="E169" t="n">
        <v>1670</v>
      </c>
      <c r="F169" t="n">
        <v>6.6</v>
      </c>
      <c r="G169" s="30" t="n">
        <v>0.001367</v>
      </c>
      <c r="H169" s="14" t="n">
        <v>0.7791</v>
      </c>
      <c r="I169" t="n">
        <v>0.611612</v>
      </c>
      <c r="J169" t="n">
        <v>0.0858</v>
      </c>
      <c r="K169" t="n">
        <v>0.003952</v>
      </c>
      <c r="L169" t="n">
        <v>0.3629</v>
      </c>
      <c r="M169" t="n">
        <v>2.0291</v>
      </c>
      <c r="N169" t="n">
        <v>0.7363</v>
      </c>
      <c r="O169" t="inlineStr">
        <is>
          <t>PROTECT</t>
        </is>
      </c>
    </row>
    <row r="170">
      <c r="A170" t="n">
        <v>13289562</v>
      </c>
      <c r="B170" t="n">
        <v>169</v>
      </c>
      <c r="C170" t="n">
        <v>37967</v>
      </c>
      <c r="D170" t="n">
        <v>11993</v>
      </c>
      <c r="E170" t="n">
        <v>178</v>
      </c>
      <c r="F170" t="n">
        <v>6.5352</v>
      </c>
      <c r="G170" s="30" t="n">
        <v>0.001353</v>
      </c>
      <c r="H170" s="14" t="n">
        <v>0.7805</v>
      </c>
      <c r="I170" t="n">
        <v>0.31588</v>
      </c>
      <c r="J170" t="n">
        <v>0.0148</v>
      </c>
      <c r="K170" t="n">
        <v>0.036714</v>
      </c>
      <c r="L170" t="n">
        <v>1.1301</v>
      </c>
      <c r="M170" t="n">
        <v>1.4684</v>
      </c>
      <c r="N170" t="n">
        <v>1.6594</v>
      </c>
      <c r="O170" t="inlineStr">
        <is>
          <t>FIX</t>
        </is>
      </c>
    </row>
    <row r="171">
      <c r="A171" t="n">
        <v>23852330</v>
      </c>
      <c r="B171" t="n">
        <v>170</v>
      </c>
      <c r="C171" t="n">
        <v>9072</v>
      </c>
      <c r="D171" t="n">
        <v>3739</v>
      </c>
      <c r="E171" t="n">
        <v>216</v>
      </c>
      <c r="F171" t="n">
        <v>6.5091</v>
      </c>
      <c r="G171" s="30" t="n">
        <v>0.001348</v>
      </c>
      <c r="H171" s="14" t="n">
        <v>0.7818000000000001</v>
      </c>
      <c r="I171" t="n">
        <v>0.412147</v>
      </c>
      <c r="J171" t="n">
        <v>0.0578</v>
      </c>
      <c r="K171" t="n">
        <v>0.030135</v>
      </c>
      <c r="L171" t="n">
        <v>0.5222</v>
      </c>
      <c r="M171" t="n">
        <v>2.1847</v>
      </c>
      <c r="N171" t="n">
        <v>1.1409</v>
      </c>
      <c r="O171" t="inlineStr">
        <is>
          <t>FIX</t>
        </is>
      </c>
    </row>
    <row r="172">
      <c r="A172" t="n">
        <v>8892339</v>
      </c>
      <c r="B172" t="n">
        <v>171</v>
      </c>
      <c r="C172" t="n">
        <v>28793</v>
      </c>
      <c r="D172" t="n">
        <v>10965</v>
      </c>
      <c r="E172" t="n">
        <v>283</v>
      </c>
      <c r="F172" t="n">
        <v>6.4822</v>
      </c>
      <c r="G172" s="30" t="n">
        <v>0.001342</v>
      </c>
      <c r="H172" s="14" t="n">
        <v>0.7832</v>
      </c>
      <c r="I172" t="n">
        <v>0.380822</v>
      </c>
      <c r="J172" t="n">
        <v>0.0258</v>
      </c>
      <c r="K172" t="n">
        <v>0.022905</v>
      </c>
      <c r="L172" t="n">
        <v>0.2575</v>
      </c>
      <c r="M172" t="n">
        <v>2.4679</v>
      </c>
      <c r="N172" t="n">
        <v>0.6355</v>
      </c>
      <c r="O172" t="inlineStr">
        <is>
          <t>FIX</t>
        </is>
      </c>
    </row>
    <row r="173">
      <c r="A173" t="n">
        <v>18323505</v>
      </c>
      <c r="B173" t="n">
        <v>172</v>
      </c>
      <c r="C173" t="n">
        <v>12791</v>
      </c>
      <c r="D173" t="n">
        <v>4095</v>
      </c>
      <c r="E173" t="n">
        <v>28</v>
      </c>
      <c r="F173" t="n">
        <v>6.3594</v>
      </c>
      <c r="G173" s="30" t="n">
        <v>0.001317</v>
      </c>
      <c r="H173" s="14" t="n">
        <v>0.7845</v>
      </c>
      <c r="I173" t="n">
        <v>0.320147</v>
      </c>
      <c r="J173" t="n">
        <v>0.0068</v>
      </c>
      <c r="K173" t="n">
        <v>0.227123</v>
      </c>
      <c r="L173" t="n">
        <v>1.2885</v>
      </c>
      <c r="M173" t="n">
        <v>1.3756</v>
      </c>
      <c r="N173" t="n">
        <v>1.7725</v>
      </c>
      <c r="O173" t="inlineStr">
        <is>
          <t>FIX</t>
        </is>
      </c>
    </row>
    <row r="174">
      <c r="A174" t="n">
        <v>8867068</v>
      </c>
      <c r="B174" t="n">
        <v>173</v>
      </c>
      <c r="C174" t="n">
        <v>41027</v>
      </c>
      <c r="D174" t="n">
        <v>13864</v>
      </c>
      <c r="E174" t="n">
        <v>535</v>
      </c>
      <c r="F174" t="n">
        <v>6.2739</v>
      </c>
      <c r="G174" s="30" t="n">
        <v>0.001299</v>
      </c>
      <c r="H174" s="14" t="n">
        <v>0.7858000000000001</v>
      </c>
      <c r="I174" t="n">
        <v>0.337924</v>
      </c>
      <c r="J174" t="n">
        <v>0.0386</v>
      </c>
      <c r="K174" t="n">
        <v>0.011727</v>
      </c>
      <c r="L174" t="n">
        <v>0.9806</v>
      </c>
      <c r="M174" t="n">
        <v>1.2853</v>
      </c>
      <c r="N174" t="n">
        <v>1.2604</v>
      </c>
      <c r="O174" t="inlineStr">
        <is>
          <t>PROTECT</t>
        </is>
      </c>
    </row>
    <row r="175">
      <c r="A175" t="n">
        <v>14118031</v>
      </c>
      <c r="B175" t="n">
        <v>174</v>
      </c>
      <c r="C175" t="n">
        <v>9778</v>
      </c>
      <c r="D175" t="n">
        <v>4751</v>
      </c>
      <c r="E175" t="n">
        <v>255</v>
      </c>
      <c r="F175" t="n">
        <v>6.2736</v>
      </c>
      <c r="G175" s="30" t="n">
        <v>0.001299</v>
      </c>
      <c r="H175" s="14" t="n">
        <v>0.7871</v>
      </c>
      <c r="I175" t="n">
        <v>0.485887</v>
      </c>
      <c r="J175" t="n">
        <v>0.0537</v>
      </c>
      <c r="K175" t="n">
        <v>0.024602</v>
      </c>
      <c r="L175" t="n">
        <v>5.025</v>
      </c>
      <c r="M175" t="n">
        <v>0.5232</v>
      </c>
      <c r="N175" t="n">
        <v>2.6292</v>
      </c>
      <c r="O175" t="inlineStr">
        <is>
          <t>FIX</t>
        </is>
      </c>
    </row>
    <row r="176">
      <c r="A176" t="n">
        <v>24867560</v>
      </c>
      <c r="B176" t="n">
        <v>175</v>
      </c>
      <c r="C176" t="n">
        <v>22048</v>
      </c>
      <c r="D176" t="n">
        <v>6952</v>
      </c>
      <c r="E176" t="n">
        <v>1253</v>
      </c>
      <c r="F176" t="n">
        <v>6.2341</v>
      </c>
      <c r="G176" s="30" t="n">
        <v>0.001291</v>
      </c>
      <c r="H176" s="14" t="n">
        <v>0.7884</v>
      </c>
      <c r="I176" t="n">
        <v>0.315312</v>
      </c>
      <c r="J176" t="n">
        <v>0.1802</v>
      </c>
      <c r="K176" t="n">
        <v>0.004975</v>
      </c>
      <c r="L176" t="n">
        <v>0.8263</v>
      </c>
      <c r="M176" t="n">
        <v>1.5262</v>
      </c>
      <c r="N176" t="n">
        <v>1.2611</v>
      </c>
      <c r="O176" t="inlineStr">
        <is>
          <t>PROTECT</t>
        </is>
      </c>
    </row>
    <row r="177">
      <c r="A177" t="n">
        <v>21294794</v>
      </c>
      <c r="B177" t="n">
        <v>176</v>
      </c>
      <c r="C177" t="n">
        <v>41035</v>
      </c>
      <c r="D177" t="n">
        <v>17782</v>
      </c>
      <c r="E177" t="n">
        <v>1867</v>
      </c>
      <c r="F177" t="n">
        <v>6.2033</v>
      </c>
      <c r="G177" s="30" t="n">
        <v>0.001284</v>
      </c>
      <c r="H177" s="14" t="n">
        <v>0.7897</v>
      </c>
      <c r="I177" t="n">
        <v>0.433337</v>
      </c>
      <c r="J177" t="n">
        <v>0.105</v>
      </c>
      <c r="K177" t="n">
        <v>0.003323</v>
      </c>
      <c r="L177" t="n">
        <v>0.6832</v>
      </c>
      <c r="M177" t="n">
        <v>1.6365</v>
      </c>
      <c r="N177" t="n">
        <v>1.1181</v>
      </c>
      <c r="O177" t="inlineStr">
        <is>
          <t>PROTECT</t>
        </is>
      </c>
    </row>
    <row r="178">
      <c r="A178" t="n">
        <v>10002432</v>
      </c>
      <c r="B178" t="n">
        <v>177</v>
      </c>
      <c r="C178" t="n">
        <v>10561</v>
      </c>
      <c r="D178" t="n">
        <v>4289</v>
      </c>
      <c r="E178" t="n">
        <v>268</v>
      </c>
      <c r="F178" t="n">
        <v>6.1127</v>
      </c>
      <c r="G178" s="30" t="n">
        <v>0.001266</v>
      </c>
      <c r="H178" s="14" t="n">
        <v>0.7909</v>
      </c>
      <c r="I178" t="n">
        <v>0.406117</v>
      </c>
      <c r="J178" t="n">
        <v>0.0625</v>
      </c>
      <c r="K178" t="n">
        <v>0.022809</v>
      </c>
      <c r="L178" t="n">
        <v>0.6926</v>
      </c>
      <c r="M178" t="n">
        <v>1.9356</v>
      </c>
      <c r="N178" t="n">
        <v>1.3406</v>
      </c>
      <c r="O178" t="inlineStr">
        <is>
          <t>FIX</t>
        </is>
      </c>
    </row>
    <row r="179">
      <c r="A179" t="n">
        <v>13947793</v>
      </c>
      <c r="B179" t="n">
        <v>178</v>
      </c>
      <c r="C179" t="n">
        <v>23920</v>
      </c>
      <c r="D179" t="n">
        <v>8312</v>
      </c>
      <c r="E179" t="n">
        <v>128</v>
      </c>
      <c r="F179" t="n">
        <v>5.9063</v>
      </c>
      <c r="G179" s="30" t="n">
        <v>0.001223</v>
      </c>
      <c r="H179" s="14" t="n">
        <v>0.7921</v>
      </c>
      <c r="I179" t="n">
        <v>0.347492</v>
      </c>
      <c r="J179" t="n">
        <v>0.0154</v>
      </c>
      <c r="K179" t="n">
        <v>0.046143</v>
      </c>
      <c r="L179" t="n">
        <v>0.7192</v>
      </c>
      <c r="M179" t="n">
        <v>1.5179</v>
      </c>
      <c r="N179" t="n">
        <v>1.0917</v>
      </c>
      <c r="O179" t="inlineStr">
        <is>
          <t>FIX</t>
        </is>
      </c>
    </row>
    <row r="180">
      <c r="A180" t="n">
        <v>28729624</v>
      </c>
      <c r="B180" t="n">
        <v>179</v>
      </c>
      <c r="C180" t="n">
        <v>19275</v>
      </c>
      <c r="D180" t="n">
        <v>8282</v>
      </c>
      <c r="E180" t="n">
        <v>596</v>
      </c>
      <c r="F180" t="n">
        <v>5.8783</v>
      </c>
      <c r="G180" s="30" t="n">
        <v>0.001217</v>
      </c>
      <c r="H180" s="14" t="n">
        <v>0.7934</v>
      </c>
      <c r="I180" t="n">
        <v>0.429676</v>
      </c>
      <c r="J180" t="n">
        <v>0.07199999999999999</v>
      </c>
      <c r="K180" t="n">
        <v>0.009863</v>
      </c>
      <c r="L180" t="n">
        <v>0.9734</v>
      </c>
      <c r="M180" t="n">
        <v>1.235</v>
      </c>
      <c r="N180" t="n">
        <v>1.2021</v>
      </c>
      <c r="O180" t="inlineStr">
        <is>
          <t>PROTECT</t>
        </is>
      </c>
    </row>
    <row r="181">
      <c r="A181" t="n">
        <v>15661602</v>
      </c>
      <c r="B181" t="n">
        <v>180</v>
      </c>
      <c r="C181" t="n">
        <v>10586</v>
      </c>
      <c r="D181" t="n">
        <v>3680</v>
      </c>
      <c r="E181" t="n">
        <v>22</v>
      </c>
      <c r="F181" t="n">
        <v>5.8456</v>
      </c>
      <c r="G181" s="30" t="n">
        <v>0.00121</v>
      </c>
      <c r="H181" s="14" t="n">
        <v>0.7946</v>
      </c>
      <c r="I181" t="n">
        <v>0.347629</v>
      </c>
      <c r="J181" t="n">
        <v>0.006</v>
      </c>
      <c r="K181" t="n">
        <v>0.265709</v>
      </c>
      <c r="L181" t="n">
        <v>0.2882</v>
      </c>
      <c r="M181" t="n">
        <v>2.5106</v>
      </c>
      <c r="N181" t="n">
        <v>0.7236</v>
      </c>
      <c r="O181" t="inlineStr">
        <is>
          <t>FIX</t>
        </is>
      </c>
    </row>
    <row r="182">
      <c r="A182" t="n">
        <v>20922679</v>
      </c>
      <c r="B182" t="n">
        <v>181</v>
      </c>
      <c r="C182" t="n">
        <v>17202</v>
      </c>
      <c r="D182" t="n">
        <v>6378</v>
      </c>
      <c r="E182" t="n">
        <v>149</v>
      </c>
      <c r="F182" t="n">
        <v>5.8134</v>
      </c>
      <c r="G182" s="30" t="n">
        <v>0.001204</v>
      </c>
      <c r="H182" s="14" t="n">
        <v>0.7958</v>
      </c>
      <c r="I182" t="n">
        <v>0.370771</v>
      </c>
      <c r="J182" t="n">
        <v>0.0234</v>
      </c>
      <c r="K182" t="n">
        <v>0.039016</v>
      </c>
      <c r="L182" t="n">
        <v>0.6594</v>
      </c>
      <c r="M182" t="n">
        <v>1.4067</v>
      </c>
      <c r="N182" t="n">
        <v>0.9276</v>
      </c>
      <c r="O182" t="inlineStr">
        <is>
          <t>FIX</t>
        </is>
      </c>
    </row>
    <row r="183">
      <c r="A183" t="n">
        <v>9106406</v>
      </c>
      <c r="B183" t="n">
        <v>182</v>
      </c>
      <c r="C183" t="n">
        <v>19642</v>
      </c>
      <c r="D183" t="n">
        <v>6142</v>
      </c>
      <c r="E183" t="n">
        <v>2699</v>
      </c>
      <c r="F183" t="n">
        <v>5.7983</v>
      </c>
      <c r="G183" s="30" t="n">
        <v>0.001201</v>
      </c>
      <c r="H183" s="14" t="n">
        <v>0.797</v>
      </c>
      <c r="I183" t="n">
        <v>0.312697</v>
      </c>
      <c r="J183" t="n">
        <v>0.4394</v>
      </c>
      <c r="K183" t="n">
        <v>0.002148</v>
      </c>
      <c r="L183" t="n">
        <v>1.344</v>
      </c>
      <c r="M183" t="n">
        <v>0.9978</v>
      </c>
      <c r="N183" t="n">
        <v>1.341</v>
      </c>
      <c r="O183" t="inlineStr">
        <is>
          <t>PROTECT</t>
        </is>
      </c>
    </row>
    <row r="184">
      <c r="A184" t="n">
        <v>5281156</v>
      </c>
      <c r="B184" t="n">
        <v>183</v>
      </c>
      <c r="C184" t="n">
        <v>42222</v>
      </c>
      <c r="D184" t="n">
        <v>12404</v>
      </c>
      <c r="E184" t="n">
        <v>161</v>
      </c>
      <c r="F184" t="n">
        <v>5.7978</v>
      </c>
      <c r="G184" s="30" t="n">
        <v>0.001201</v>
      </c>
      <c r="H184" s="14" t="n">
        <v>0.7982</v>
      </c>
      <c r="I184" t="n">
        <v>0.29378</v>
      </c>
      <c r="J184" t="n">
        <v>0.013</v>
      </c>
      <c r="K184" t="n">
        <v>0.036011</v>
      </c>
      <c r="L184" t="n">
        <v>1.9662</v>
      </c>
      <c r="M184" t="n">
        <v>1.1306</v>
      </c>
      <c r="N184" t="n">
        <v>2.2229</v>
      </c>
      <c r="O184" t="inlineStr">
        <is>
          <t>FIX</t>
        </is>
      </c>
    </row>
    <row r="185">
      <c r="A185" t="n">
        <v>20458055</v>
      </c>
      <c r="B185" t="n">
        <v>184</v>
      </c>
      <c r="C185" t="n">
        <v>22704</v>
      </c>
      <c r="D185" t="n">
        <v>5545</v>
      </c>
      <c r="E185" t="n">
        <v>198</v>
      </c>
      <c r="F185" t="n">
        <v>5.7836</v>
      </c>
      <c r="G185" s="30" t="n">
        <v>0.001198</v>
      </c>
      <c r="H185" s="14" t="n">
        <v>0.7994</v>
      </c>
      <c r="I185" t="n">
        <v>0.24423</v>
      </c>
      <c r="J185" t="n">
        <v>0.0357</v>
      </c>
      <c r="K185" t="n">
        <v>0.02921</v>
      </c>
      <c r="L185" t="n">
        <v>0.4162</v>
      </c>
      <c r="M185" t="n">
        <v>1.8681</v>
      </c>
      <c r="N185" t="n">
        <v>0.7774</v>
      </c>
      <c r="O185" t="inlineStr">
        <is>
          <t>FIX</t>
        </is>
      </c>
    </row>
    <row r="186">
      <c r="A186" t="n">
        <v>16922675</v>
      </c>
      <c r="B186" t="n">
        <v>185</v>
      </c>
      <c r="C186" t="n">
        <v>40899</v>
      </c>
      <c r="D186" t="n">
        <v>16729</v>
      </c>
      <c r="E186" t="n">
        <v>2534</v>
      </c>
      <c r="F186" t="n">
        <v>5.7743</v>
      </c>
      <c r="G186" s="30" t="n">
        <v>0.001196</v>
      </c>
      <c r="H186" s="14" t="n">
        <v>0.8006</v>
      </c>
      <c r="I186" t="n">
        <v>0.409032</v>
      </c>
      <c r="J186" t="n">
        <v>0.1515</v>
      </c>
      <c r="K186" t="n">
        <v>0.002279</v>
      </c>
      <c r="L186" t="n">
        <v>0.7163</v>
      </c>
      <c r="M186" t="n">
        <v>1.6192</v>
      </c>
      <c r="N186" t="n">
        <v>1.1598</v>
      </c>
      <c r="O186" t="inlineStr">
        <is>
          <t>PROTECT</t>
        </is>
      </c>
    </row>
    <row r="187">
      <c r="A187" t="n">
        <v>10960760</v>
      </c>
      <c r="B187" t="n">
        <v>186</v>
      </c>
      <c r="C187" t="n">
        <v>21748</v>
      </c>
      <c r="D187" t="n">
        <v>9606</v>
      </c>
      <c r="E187" t="n">
        <v>400</v>
      </c>
      <c r="F187" t="n">
        <v>5.6983</v>
      </c>
      <c r="G187" s="30" t="n">
        <v>0.00118</v>
      </c>
      <c r="H187" s="14" t="n">
        <v>0.8017</v>
      </c>
      <c r="I187" t="n">
        <v>0.441696</v>
      </c>
      <c r="J187" t="n">
        <v>0.0416</v>
      </c>
      <c r="K187" t="n">
        <v>0.014246</v>
      </c>
      <c r="L187" t="n">
        <v>1.0214</v>
      </c>
      <c r="M187" t="n">
        <v>1.2242</v>
      </c>
      <c r="N187" t="n">
        <v>1.2504</v>
      </c>
      <c r="O187" t="inlineStr">
        <is>
          <t>PROTECT</t>
        </is>
      </c>
    </row>
    <row r="188">
      <c r="A188" t="n">
        <v>12947794</v>
      </c>
      <c r="B188" t="n">
        <v>187</v>
      </c>
      <c r="C188" t="n">
        <v>24744</v>
      </c>
      <c r="D188" t="n">
        <v>6607</v>
      </c>
      <c r="E188" t="n">
        <v>92</v>
      </c>
      <c r="F188" t="n">
        <v>5.661</v>
      </c>
      <c r="G188" s="30" t="n">
        <v>0.001172</v>
      </c>
      <c r="H188" s="14" t="n">
        <v>0.8028999999999999</v>
      </c>
      <c r="I188" t="n">
        <v>0.267014</v>
      </c>
      <c r="J188" t="n">
        <v>0.0139</v>
      </c>
      <c r="K188" t="n">
        <v>0.061532</v>
      </c>
      <c r="L188" t="n">
        <v>1.0182</v>
      </c>
      <c r="M188" t="n">
        <v>1.2848</v>
      </c>
      <c r="N188" t="n">
        <v>1.3082</v>
      </c>
      <c r="O188" t="inlineStr">
        <is>
          <t>FIX</t>
        </is>
      </c>
    </row>
    <row r="189">
      <c r="A189" t="n">
        <v>15574227</v>
      </c>
      <c r="B189" t="n">
        <v>188</v>
      </c>
      <c r="C189" t="n">
        <v>8932</v>
      </c>
      <c r="D189" t="n">
        <v>3400</v>
      </c>
      <c r="E189" t="n">
        <v>134</v>
      </c>
      <c r="F189" t="n">
        <v>5.6374</v>
      </c>
      <c r="G189" s="30" t="n">
        <v>0.001167</v>
      </c>
      <c r="H189" s="14" t="n">
        <v>0.8041</v>
      </c>
      <c r="I189" t="n">
        <v>0.380654</v>
      </c>
      <c r="J189" t="n">
        <v>0.0394</v>
      </c>
      <c r="K189" t="n">
        <v>0.04207</v>
      </c>
      <c r="L189" t="n">
        <v>1.3707</v>
      </c>
      <c r="M189" t="n">
        <v>1.0183</v>
      </c>
      <c r="N189" t="n">
        <v>1.3958</v>
      </c>
      <c r="O189" t="inlineStr">
        <is>
          <t>FIX</t>
        </is>
      </c>
    </row>
    <row r="190">
      <c r="A190" t="n">
        <v>20640037</v>
      </c>
      <c r="B190" t="n">
        <v>189</v>
      </c>
      <c r="C190" t="n">
        <v>24747</v>
      </c>
      <c r="D190" t="n">
        <v>9460</v>
      </c>
      <c r="E190" t="n">
        <v>658</v>
      </c>
      <c r="F190" t="n">
        <v>5.5981</v>
      </c>
      <c r="G190" s="30" t="n">
        <v>0.001159</v>
      </c>
      <c r="H190" s="14" t="n">
        <v>0.8052</v>
      </c>
      <c r="I190" t="n">
        <v>0.382269</v>
      </c>
      <c r="J190" t="n">
        <v>0.0696</v>
      </c>
      <c r="K190" t="n">
        <v>0.008508</v>
      </c>
      <c r="L190" t="n">
        <v>1.1492</v>
      </c>
      <c r="M190" t="n">
        <v>1.1824</v>
      </c>
      <c r="N190" t="n">
        <v>1.3589</v>
      </c>
      <c r="O190" t="inlineStr">
        <is>
          <t>PROTECT</t>
        </is>
      </c>
    </row>
    <row r="191">
      <c r="A191" t="n">
        <v>31736975</v>
      </c>
      <c r="B191" t="n">
        <v>190</v>
      </c>
      <c r="C191" t="n">
        <v>34923</v>
      </c>
      <c r="D191" t="n">
        <v>9006</v>
      </c>
      <c r="E191" t="n">
        <v>238</v>
      </c>
      <c r="F191" t="n">
        <v>5.5812</v>
      </c>
      <c r="G191" s="30" t="n">
        <v>0.001156</v>
      </c>
      <c r="H191" s="14" t="n">
        <v>0.8064</v>
      </c>
      <c r="I191" t="n">
        <v>0.257882</v>
      </c>
      <c r="J191" t="n">
        <v>0.0264</v>
      </c>
      <c r="K191" t="n">
        <v>0.023451</v>
      </c>
      <c r="L191" t="n">
        <v>0.6529</v>
      </c>
      <c r="M191" t="n">
        <v>1.3938</v>
      </c>
      <c r="N191" t="n">
        <v>0.91</v>
      </c>
      <c r="O191" t="inlineStr">
        <is>
          <t>FIX</t>
        </is>
      </c>
    </row>
    <row r="192">
      <c r="A192" t="n">
        <v>5121533</v>
      </c>
      <c r="B192" t="n">
        <v>191</v>
      </c>
      <c r="C192" t="n">
        <v>11685</v>
      </c>
      <c r="D192" t="n">
        <v>3377</v>
      </c>
      <c r="E192" t="n">
        <v>87</v>
      </c>
      <c r="F192" t="n">
        <v>5.5126</v>
      </c>
      <c r="G192" s="30" t="n">
        <v>0.001141</v>
      </c>
      <c r="H192" s="14" t="n">
        <v>0.8075</v>
      </c>
      <c r="I192" t="n">
        <v>0.289003</v>
      </c>
      <c r="J192" t="n">
        <v>0.0258</v>
      </c>
      <c r="K192" t="n">
        <v>0.063364</v>
      </c>
      <c r="L192" t="n">
        <v>1.5346</v>
      </c>
      <c r="M192" t="n">
        <v>1.1397</v>
      </c>
      <c r="N192" t="n">
        <v>1.7489</v>
      </c>
      <c r="O192" t="inlineStr">
        <is>
          <t>FIX</t>
        </is>
      </c>
    </row>
    <row r="193">
      <c r="A193" t="n">
        <v>27891651</v>
      </c>
      <c r="B193" t="n">
        <v>192</v>
      </c>
      <c r="C193" t="n">
        <v>23789</v>
      </c>
      <c r="D193" t="n">
        <v>8908</v>
      </c>
      <c r="E193" t="n">
        <v>379</v>
      </c>
      <c r="F193" t="n">
        <v>5.5123</v>
      </c>
      <c r="G193" s="30" t="n">
        <v>0.001141</v>
      </c>
      <c r="H193" s="14" t="n">
        <v>0.8087</v>
      </c>
      <c r="I193" t="n">
        <v>0.374459</v>
      </c>
      <c r="J193" t="n">
        <v>0.0425</v>
      </c>
      <c r="K193" t="n">
        <v>0.014544</v>
      </c>
      <c r="L193" t="n">
        <v>0.3408</v>
      </c>
      <c r="M193" t="n">
        <v>2.1051</v>
      </c>
      <c r="N193" t="n">
        <v>0.7174</v>
      </c>
      <c r="O193" t="inlineStr">
        <is>
          <t>PROTECT</t>
        </is>
      </c>
    </row>
    <row r="194">
      <c r="A194" t="n">
        <v>30175073</v>
      </c>
      <c r="B194" t="n">
        <v>193</v>
      </c>
      <c r="C194" t="n">
        <v>10122</v>
      </c>
      <c r="D194" t="n">
        <v>3586</v>
      </c>
      <c r="E194" t="n">
        <v>49</v>
      </c>
      <c r="F194" t="n">
        <v>5.4539</v>
      </c>
      <c r="G194" s="30" t="n">
        <v>0.001129</v>
      </c>
      <c r="H194" s="14" t="n">
        <v>0.8098</v>
      </c>
      <c r="I194" t="n">
        <v>0.354278</v>
      </c>
      <c r="J194" t="n">
        <v>0.0137</v>
      </c>
      <c r="K194" t="n">
        <v>0.111305</v>
      </c>
      <c r="L194" t="n">
        <v>0.9893</v>
      </c>
      <c r="M194" t="n">
        <v>1.4001</v>
      </c>
      <c r="N194" t="n">
        <v>1.3852</v>
      </c>
      <c r="O194" t="inlineStr">
        <is>
          <t>FIX</t>
        </is>
      </c>
    </row>
    <row r="195">
      <c r="A195" t="n">
        <v>884761</v>
      </c>
      <c r="B195" t="n">
        <v>194</v>
      </c>
      <c r="C195" t="n">
        <v>20375</v>
      </c>
      <c r="D195" t="n">
        <v>8282</v>
      </c>
      <c r="E195" t="n">
        <v>595</v>
      </c>
      <c r="F195" t="n">
        <v>5.4124</v>
      </c>
      <c r="G195" s="30" t="n">
        <v>0.001121</v>
      </c>
      <c r="H195" s="14" t="n">
        <v>0.8109</v>
      </c>
      <c r="I195" t="n">
        <v>0.406479</v>
      </c>
      <c r="J195" t="n">
        <v>0.0718</v>
      </c>
      <c r="K195" t="n">
        <v>0.009096</v>
      </c>
      <c r="L195" t="n">
        <v>1.8801</v>
      </c>
      <c r="M195" t="n">
        <v>0.7134</v>
      </c>
      <c r="N195" t="n">
        <v>1.3413</v>
      </c>
      <c r="O195" t="inlineStr">
        <is>
          <t>PROTECT</t>
        </is>
      </c>
    </row>
    <row r="196">
      <c r="A196" t="n">
        <v>21443086</v>
      </c>
      <c r="B196" t="n">
        <v>195</v>
      </c>
      <c r="C196" t="n">
        <v>17633</v>
      </c>
      <c r="D196" t="n">
        <v>6115</v>
      </c>
      <c r="E196" t="n">
        <v>288</v>
      </c>
      <c r="F196" t="n">
        <v>5.3607</v>
      </c>
      <c r="G196" s="30" t="n">
        <v>0.00111</v>
      </c>
      <c r="H196" s="14" t="n">
        <v>0.8120000000000001</v>
      </c>
      <c r="I196" t="n">
        <v>0.346793</v>
      </c>
      <c r="J196" t="n">
        <v>0.0471</v>
      </c>
      <c r="K196" t="n">
        <v>0.018614</v>
      </c>
      <c r="L196" t="n">
        <v>0.6845</v>
      </c>
      <c r="M196" t="n">
        <v>1.5402</v>
      </c>
      <c r="N196" t="n">
        <v>1.0543</v>
      </c>
      <c r="O196" t="inlineStr">
        <is>
          <t>FIX</t>
        </is>
      </c>
    </row>
    <row r="197">
      <c r="A197" t="n">
        <v>11097337</v>
      </c>
      <c r="B197" t="n">
        <v>196</v>
      </c>
      <c r="C197" t="n">
        <v>26066</v>
      </c>
      <c r="D197" t="n">
        <v>13308</v>
      </c>
      <c r="E197" t="n">
        <v>765</v>
      </c>
      <c r="F197" t="n">
        <v>5.2888</v>
      </c>
      <c r="G197" s="30" t="n">
        <v>0.001095</v>
      </c>
      <c r="H197" s="14" t="n">
        <v>0.8131</v>
      </c>
      <c r="I197" t="n">
        <v>0.5105499999999999</v>
      </c>
      <c r="J197" t="n">
        <v>0.0575</v>
      </c>
      <c r="K197" t="n">
        <v>0.006913</v>
      </c>
      <c r="L197" t="n">
        <v>1.2115</v>
      </c>
      <c r="M197" t="n">
        <v>1.0076</v>
      </c>
      <c r="N197" t="n">
        <v>1.2206</v>
      </c>
      <c r="O197" t="inlineStr">
        <is>
          <t>PROTECT</t>
        </is>
      </c>
    </row>
    <row r="198">
      <c r="A198" t="n">
        <v>32398755</v>
      </c>
      <c r="B198" t="n">
        <v>197</v>
      </c>
      <c r="C198" t="n">
        <v>21474</v>
      </c>
      <c r="D198" t="n">
        <v>8303</v>
      </c>
      <c r="E198" t="n">
        <v>184</v>
      </c>
      <c r="F198" t="n">
        <v>5.2452</v>
      </c>
      <c r="G198" s="30" t="n">
        <v>0.001086</v>
      </c>
      <c r="H198" s="14" t="n">
        <v>0.8142</v>
      </c>
      <c r="I198" t="n">
        <v>0.386654</v>
      </c>
      <c r="J198" t="n">
        <v>0.0222</v>
      </c>
      <c r="K198" t="n">
        <v>0.028506</v>
      </c>
      <c r="L198" t="n">
        <v>0.8117</v>
      </c>
      <c r="M198" t="n">
        <v>1.4981</v>
      </c>
      <c r="N198" t="n">
        <v>1.216</v>
      </c>
      <c r="O198" t="inlineStr">
        <is>
          <t>FIX</t>
        </is>
      </c>
    </row>
    <row r="199">
      <c r="A199" t="n">
        <v>21257831</v>
      </c>
      <c r="B199" t="n">
        <v>198</v>
      </c>
      <c r="C199" t="n">
        <v>21605</v>
      </c>
      <c r="D199" t="n">
        <v>9122</v>
      </c>
      <c r="E199" t="n">
        <v>484</v>
      </c>
      <c r="F199" t="n">
        <v>5.2372</v>
      </c>
      <c r="G199" s="30" t="n">
        <v>0.001084</v>
      </c>
      <c r="H199" s="14" t="n">
        <v>0.8153</v>
      </c>
      <c r="I199" t="n">
        <v>0.422217</v>
      </c>
      <c r="J199" t="n">
        <v>0.0531</v>
      </c>
      <c r="K199" t="n">
        <v>0.010821</v>
      </c>
      <c r="L199" t="n">
        <v>1.3204</v>
      </c>
      <c r="M199" t="n">
        <v>1.0543</v>
      </c>
      <c r="N199" t="n">
        <v>1.3922</v>
      </c>
      <c r="O199" t="inlineStr">
        <is>
          <t>PROTECT</t>
        </is>
      </c>
    </row>
    <row r="200">
      <c r="A200" t="n">
        <v>16307476</v>
      </c>
      <c r="B200" t="n">
        <v>199</v>
      </c>
      <c r="C200" t="n">
        <v>10721</v>
      </c>
      <c r="D200" t="n">
        <v>3551</v>
      </c>
      <c r="E200" t="n">
        <v>153</v>
      </c>
      <c r="F200" t="n">
        <v>5.1918</v>
      </c>
      <c r="G200" s="30" t="n">
        <v>0.001075</v>
      </c>
      <c r="H200" s="14" t="n">
        <v>0.8164</v>
      </c>
      <c r="I200" t="n">
        <v>0.331219</v>
      </c>
      <c r="J200" t="n">
        <v>0.0431</v>
      </c>
      <c r="K200" t="n">
        <v>0.033933</v>
      </c>
      <c r="L200" t="n">
        <v>0.7729</v>
      </c>
      <c r="M200" t="n">
        <v>1.3521</v>
      </c>
      <c r="N200" t="n">
        <v>1.045</v>
      </c>
      <c r="O200" t="inlineStr">
        <is>
          <t>FIX</t>
        </is>
      </c>
    </row>
    <row r="201">
      <c r="A201" t="n">
        <v>26321366</v>
      </c>
      <c r="B201" t="n">
        <v>200</v>
      </c>
      <c r="C201" t="n">
        <v>42947</v>
      </c>
      <c r="D201" t="n">
        <v>12254</v>
      </c>
      <c r="E201" t="n">
        <v>488</v>
      </c>
      <c r="F201" t="n">
        <v>5.1665</v>
      </c>
      <c r="G201" s="30" t="n">
        <v>0.00107</v>
      </c>
      <c r="H201" s="14" t="n">
        <v>0.8175</v>
      </c>
      <c r="I201" t="n">
        <v>0.285328</v>
      </c>
      <c r="J201" t="n">
        <v>0.0398</v>
      </c>
      <c r="K201" t="n">
        <v>0.010587</v>
      </c>
      <c r="M201" t="n">
        <v>1.8872</v>
      </c>
      <c r="O201" t="inlineStr">
        <is>
          <t>PROTECT</t>
        </is>
      </c>
    </row>
    <row r="202">
      <c r="A202" t="n">
        <v>5121534</v>
      </c>
      <c r="B202" t="n">
        <v>201</v>
      </c>
      <c r="C202" t="n">
        <v>12508</v>
      </c>
      <c r="D202" t="n">
        <v>3311</v>
      </c>
      <c r="E202" t="n">
        <v>136</v>
      </c>
      <c r="F202" t="n">
        <v>5.1402</v>
      </c>
      <c r="G202" s="30" t="n">
        <v>0.001064</v>
      </c>
      <c r="H202" s="14" t="n">
        <v>0.8185</v>
      </c>
      <c r="I202" t="n">
        <v>0.264711</v>
      </c>
      <c r="J202" t="n">
        <v>0.0411</v>
      </c>
      <c r="K202" t="n">
        <v>0.037796</v>
      </c>
      <c r="L202" t="n">
        <v>1.659</v>
      </c>
      <c r="M202" t="n">
        <v>0.7665999999999999</v>
      </c>
      <c r="N202" t="n">
        <v>1.2718</v>
      </c>
      <c r="O202" t="inlineStr">
        <is>
          <t>FIX</t>
        </is>
      </c>
    </row>
    <row r="203">
      <c r="A203" t="n">
        <v>29614010</v>
      </c>
      <c r="B203" t="n">
        <v>202</v>
      </c>
      <c r="C203" t="n">
        <v>12237</v>
      </c>
      <c r="D203" t="n">
        <v>5046</v>
      </c>
      <c r="E203" t="n">
        <v>135</v>
      </c>
      <c r="F203" t="n">
        <v>5.1122</v>
      </c>
      <c r="G203" s="30" t="n">
        <v>0.001059</v>
      </c>
      <c r="H203" s="14" t="n">
        <v>0.8196</v>
      </c>
      <c r="I203" t="n">
        <v>0.412356</v>
      </c>
      <c r="J203" t="n">
        <v>0.0268</v>
      </c>
      <c r="K203" t="n">
        <v>0.037868</v>
      </c>
      <c r="L203" t="n">
        <v>2.1209</v>
      </c>
      <c r="M203" t="n">
        <v>0.7208</v>
      </c>
      <c r="N203" t="n">
        <v>1.5287</v>
      </c>
      <c r="O203" t="inlineStr">
        <is>
          <t>FIX</t>
        </is>
      </c>
    </row>
    <row r="204">
      <c r="A204" t="n">
        <v>9810200</v>
      </c>
      <c r="B204" t="n">
        <v>203</v>
      </c>
      <c r="C204" t="n">
        <v>29866</v>
      </c>
      <c r="D204" t="n">
        <v>18502</v>
      </c>
      <c r="E204" t="n">
        <v>940</v>
      </c>
      <c r="F204" t="n">
        <v>5.1013</v>
      </c>
      <c r="G204" s="30" t="n">
        <v>0.001056</v>
      </c>
      <c r="H204" s="14" t="n">
        <v>0.8206</v>
      </c>
      <c r="I204" t="n">
        <v>0.6195000000000001</v>
      </c>
      <c r="J204" t="n">
        <v>0.0508</v>
      </c>
      <c r="K204" t="n">
        <v>0.005427</v>
      </c>
      <c r="L204" t="n">
        <v>1.3011</v>
      </c>
      <c r="M204" t="n">
        <v>1.0424</v>
      </c>
      <c r="N204" t="n">
        <v>1.3563</v>
      </c>
      <c r="O204" t="inlineStr">
        <is>
          <t>PROTECT</t>
        </is>
      </c>
    </row>
    <row r="205">
      <c r="A205" t="n">
        <v>26091099</v>
      </c>
      <c r="B205" t="n">
        <v>204</v>
      </c>
      <c r="C205" t="n">
        <v>12603</v>
      </c>
      <c r="D205" t="n">
        <v>4266</v>
      </c>
      <c r="E205" t="n">
        <v>128</v>
      </c>
      <c r="F205" t="n">
        <v>5.0695</v>
      </c>
      <c r="G205" s="30" t="n">
        <v>0.00105</v>
      </c>
      <c r="H205" s="14" t="n">
        <v>0.8217</v>
      </c>
      <c r="I205" t="n">
        <v>0.338491</v>
      </c>
      <c r="J205" t="n">
        <v>0.03</v>
      </c>
      <c r="K205" t="n">
        <v>0.039606</v>
      </c>
      <c r="L205" t="n">
        <v>1.463</v>
      </c>
      <c r="M205" t="n">
        <v>0.8297</v>
      </c>
      <c r="N205" t="n">
        <v>1.2139</v>
      </c>
      <c r="O205" t="inlineStr">
        <is>
          <t>FIX</t>
        </is>
      </c>
    </row>
    <row r="206">
      <c r="A206" t="n">
        <v>29862638</v>
      </c>
      <c r="B206" t="n">
        <v>205</v>
      </c>
      <c r="C206" t="n">
        <v>6915</v>
      </c>
      <c r="D206" t="n">
        <v>3054</v>
      </c>
      <c r="E206" t="n">
        <v>204</v>
      </c>
      <c r="F206" t="n">
        <v>5.0568</v>
      </c>
      <c r="G206" s="30" t="n">
        <v>0.001047</v>
      </c>
      <c r="H206" s="14" t="n">
        <v>0.8227</v>
      </c>
      <c r="I206" t="n">
        <v>0.441649</v>
      </c>
      <c r="J206" t="n">
        <v>0.0668</v>
      </c>
      <c r="K206" t="n">
        <v>0.024788</v>
      </c>
      <c r="L206" t="n">
        <v>0.9287</v>
      </c>
      <c r="M206" t="n">
        <v>1.2969</v>
      </c>
      <c r="N206" t="n">
        <v>1.2044</v>
      </c>
      <c r="O206" t="inlineStr">
        <is>
          <t>FIX</t>
        </is>
      </c>
    </row>
    <row r="207">
      <c r="A207" t="n">
        <v>14104562</v>
      </c>
      <c r="B207" t="n">
        <v>206</v>
      </c>
      <c r="C207" t="n">
        <v>8226</v>
      </c>
      <c r="D207" t="n">
        <v>2817</v>
      </c>
      <c r="E207" t="n">
        <v>50</v>
      </c>
      <c r="F207" t="n">
        <v>5.0547</v>
      </c>
      <c r="G207" s="30" t="n">
        <v>0.001047</v>
      </c>
      <c r="H207" s="14" t="n">
        <v>0.8238</v>
      </c>
      <c r="I207" t="n">
        <v>0.342451</v>
      </c>
      <c r="J207" t="n">
        <v>0.0177</v>
      </c>
      <c r="K207" t="n">
        <v>0.101093</v>
      </c>
      <c r="L207" t="n">
        <v>0.6102</v>
      </c>
      <c r="M207" t="n">
        <v>1.6198</v>
      </c>
      <c r="N207" t="n">
        <v>0.9883999999999999</v>
      </c>
      <c r="O207" t="inlineStr">
        <is>
          <t>FIX</t>
        </is>
      </c>
    </row>
    <row r="208">
      <c r="A208" t="n">
        <v>13462155</v>
      </c>
      <c r="B208" t="n">
        <v>207</v>
      </c>
      <c r="C208" t="n">
        <v>11683</v>
      </c>
      <c r="D208" t="n">
        <v>3788</v>
      </c>
      <c r="E208" t="n">
        <v>271</v>
      </c>
      <c r="F208" t="n">
        <v>5.0536</v>
      </c>
      <c r="G208" s="30" t="n">
        <v>0.001046</v>
      </c>
      <c r="H208" s="14" t="n">
        <v>0.8248</v>
      </c>
      <c r="I208" t="n">
        <v>0.324232</v>
      </c>
      <c r="J208" t="n">
        <v>0.07149999999999999</v>
      </c>
      <c r="K208" t="n">
        <v>0.018648</v>
      </c>
      <c r="L208" t="n">
        <v>1.0302</v>
      </c>
      <c r="M208" t="n">
        <v>1.2242</v>
      </c>
      <c r="N208" t="n">
        <v>1.2611</v>
      </c>
      <c r="O208" t="inlineStr">
        <is>
          <t>FIX</t>
        </is>
      </c>
    </row>
    <row r="209">
      <c r="A209" t="n">
        <v>8710016</v>
      </c>
      <c r="B209" t="n">
        <v>208</v>
      </c>
      <c r="C209" t="n">
        <v>29496</v>
      </c>
      <c r="D209" t="n">
        <v>11601</v>
      </c>
      <c r="E209" t="n">
        <v>655</v>
      </c>
      <c r="F209" t="n">
        <v>5.0453</v>
      </c>
      <c r="G209" s="30" t="n">
        <v>0.001045</v>
      </c>
      <c r="H209" s="14" t="n">
        <v>0.8259</v>
      </c>
      <c r="I209" t="n">
        <v>0.393308</v>
      </c>
      <c r="J209" t="n">
        <v>0.0565</v>
      </c>
      <c r="K209" t="n">
        <v>0.007703</v>
      </c>
      <c r="L209" t="n">
        <v>0.6986</v>
      </c>
      <c r="M209" t="n">
        <v>1.2954</v>
      </c>
      <c r="N209" t="n">
        <v>0.9049</v>
      </c>
      <c r="O209" t="inlineStr">
        <is>
          <t>PROTECT</t>
        </is>
      </c>
    </row>
    <row r="210">
      <c r="A210" t="n">
        <v>12987593</v>
      </c>
      <c r="B210" t="n">
        <v>209</v>
      </c>
      <c r="C210" t="n">
        <v>13196</v>
      </c>
      <c r="D210" t="n">
        <v>5185</v>
      </c>
      <c r="E210" t="n">
        <v>93</v>
      </c>
      <c r="F210" t="n">
        <v>4.9782</v>
      </c>
      <c r="G210" s="30" t="n">
        <v>0.001031</v>
      </c>
      <c r="H210" s="14" t="n">
        <v>0.8269</v>
      </c>
      <c r="I210" t="n">
        <v>0.392922</v>
      </c>
      <c r="J210" t="n">
        <v>0.0179</v>
      </c>
      <c r="K210" t="n">
        <v>0.053529</v>
      </c>
      <c r="L210" t="n">
        <v>2.7235</v>
      </c>
      <c r="M210" t="n">
        <v>0.6036</v>
      </c>
      <c r="N210" t="n">
        <v>1.6439</v>
      </c>
      <c r="O210" t="inlineStr">
        <is>
          <t>FIX</t>
        </is>
      </c>
    </row>
    <row r="211">
      <c r="A211" t="n">
        <v>12089529</v>
      </c>
      <c r="B211" t="n">
        <v>210</v>
      </c>
      <c r="C211" t="n">
        <v>29711</v>
      </c>
      <c r="D211" t="n">
        <v>10639</v>
      </c>
      <c r="E211" t="n">
        <v>510</v>
      </c>
      <c r="F211" t="n">
        <v>4.92</v>
      </c>
      <c r="G211" s="30" t="n">
        <v>0.001019</v>
      </c>
      <c r="H211" s="14" t="n">
        <v>0.8279</v>
      </c>
      <c r="I211" t="n">
        <v>0.358083</v>
      </c>
      <c r="J211" t="n">
        <v>0.0479</v>
      </c>
      <c r="K211" t="n">
        <v>0.009646999999999999</v>
      </c>
      <c r="M211" t="n">
        <v>2.2534</v>
      </c>
      <c r="O211" t="inlineStr">
        <is>
          <t>PROTECT</t>
        </is>
      </c>
    </row>
    <row r="212">
      <c r="A212" t="n">
        <v>14104561</v>
      </c>
      <c r="B212" t="n">
        <v>211</v>
      </c>
      <c r="C212" t="n">
        <v>10170</v>
      </c>
      <c r="D212" t="n">
        <v>2893</v>
      </c>
      <c r="E212" t="n">
        <v>51</v>
      </c>
      <c r="F212" t="n">
        <v>4.9172</v>
      </c>
      <c r="G212" s="30" t="n">
        <v>0.001018</v>
      </c>
      <c r="H212" s="14" t="n">
        <v>0.8289</v>
      </c>
      <c r="I212" t="n">
        <v>0.284464</v>
      </c>
      <c r="J212" t="n">
        <v>0.0176</v>
      </c>
      <c r="K212" t="n">
        <v>0.096416</v>
      </c>
      <c r="L212" t="n">
        <v>0.91</v>
      </c>
      <c r="M212" t="n">
        <v>1.1151</v>
      </c>
      <c r="N212" t="n">
        <v>1.0147</v>
      </c>
      <c r="O212" t="inlineStr">
        <is>
          <t>FIX</t>
        </is>
      </c>
    </row>
    <row r="213">
      <c r="A213" t="n">
        <v>15743382</v>
      </c>
      <c r="B213" t="n">
        <v>212</v>
      </c>
      <c r="C213" t="n">
        <v>8619</v>
      </c>
      <c r="D213" t="n">
        <v>2377</v>
      </c>
      <c r="E213" t="n">
        <v>1639</v>
      </c>
      <c r="F213" t="n">
        <v>4.9043</v>
      </c>
      <c r="G213" s="30" t="n">
        <v>0.001016</v>
      </c>
      <c r="H213" s="14" t="n">
        <v>0.83</v>
      </c>
      <c r="I213" t="n">
        <v>0.275786</v>
      </c>
      <c r="J213" t="n">
        <v>0.6895</v>
      </c>
      <c r="K213" t="n">
        <v>0.002992</v>
      </c>
      <c r="L213" t="n">
        <v>1.6343</v>
      </c>
      <c r="M213" t="n">
        <v>1.054</v>
      </c>
      <c r="N213" t="n">
        <v>1.7226</v>
      </c>
      <c r="O213" t="inlineStr">
        <is>
          <t>PROTECT</t>
        </is>
      </c>
    </row>
    <row r="214">
      <c r="A214" t="n">
        <v>9097340</v>
      </c>
      <c r="B214" t="n">
        <v>213</v>
      </c>
      <c r="C214" t="n">
        <v>5734</v>
      </c>
      <c r="D214" t="n">
        <v>2291</v>
      </c>
      <c r="E214" t="n">
        <v>182</v>
      </c>
      <c r="F214" t="n">
        <v>4.8282</v>
      </c>
      <c r="G214" s="30" t="n">
        <v>0.001</v>
      </c>
      <c r="H214" s="14" t="n">
        <v>0.831</v>
      </c>
      <c r="I214" t="n">
        <v>0.399547</v>
      </c>
      <c r="J214" t="n">
        <v>0.0794</v>
      </c>
      <c r="K214" t="n">
        <v>0.026529</v>
      </c>
      <c r="L214" t="n">
        <v>0.593</v>
      </c>
      <c r="M214" t="n">
        <v>1.2635</v>
      </c>
      <c r="N214" t="n">
        <v>0.7492</v>
      </c>
      <c r="O214" t="inlineStr">
        <is>
          <t>FIX</t>
        </is>
      </c>
    </row>
    <row r="215">
      <c r="A215" t="n">
        <v>19661713</v>
      </c>
      <c r="B215" t="n">
        <v>214</v>
      </c>
      <c r="C215" t="n">
        <v>14715</v>
      </c>
      <c r="D215" t="n">
        <v>3064</v>
      </c>
      <c r="E215" t="n">
        <v>138</v>
      </c>
      <c r="F215" t="n">
        <v>4.8032</v>
      </c>
      <c r="G215" s="30" t="n">
        <v>0.000995</v>
      </c>
      <c r="H215" s="14" t="n">
        <v>0.8319</v>
      </c>
      <c r="I215" t="n">
        <v>0.208223</v>
      </c>
      <c r="J215" t="n">
        <v>0.045</v>
      </c>
      <c r="K215" t="n">
        <v>0.034806</v>
      </c>
      <c r="L215" t="n">
        <v>2.1443</v>
      </c>
      <c r="M215" t="n">
        <v>0.7523</v>
      </c>
      <c r="N215" t="n">
        <v>1.6132</v>
      </c>
      <c r="O215" t="inlineStr">
        <is>
          <t>FIX</t>
        </is>
      </c>
    </row>
    <row r="216">
      <c r="A216" t="n">
        <v>5743167</v>
      </c>
      <c r="B216" t="n">
        <v>215</v>
      </c>
      <c r="C216" t="n">
        <v>7695</v>
      </c>
      <c r="D216" t="n">
        <v>2887</v>
      </c>
      <c r="E216" t="n">
        <v>199</v>
      </c>
      <c r="F216" t="n">
        <v>4.7503</v>
      </c>
      <c r="G216" s="30" t="n">
        <v>0.0009840000000000001</v>
      </c>
      <c r="H216" s="14" t="n">
        <v>0.8329</v>
      </c>
      <c r="I216" t="n">
        <v>0.375179</v>
      </c>
      <c r="J216" t="n">
        <v>0.0689</v>
      </c>
      <c r="K216" t="n">
        <v>0.023871</v>
      </c>
      <c r="L216" t="n">
        <v>0.6937</v>
      </c>
      <c r="M216" t="n">
        <v>1.3184</v>
      </c>
      <c r="N216" t="n">
        <v>0.9145</v>
      </c>
      <c r="O216" t="inlineStr">
        <is>
          <t>FIX</t>
        </is>
      </c>
    </row>
    <row r="217">
      <c r="A217" t="n">
        <v>15959620</v>
      </c>
      <c r="B217" t="n">
        <v>216</v>
      </c>
      <c r="C217" t="n">
        <v>9048</v>
      </c>
      <c r="D217" t="n">
        <v>3673</v>
      </c>
      <c r="E217" t="n">
        <v>67</v>
      </c>
      <c r="F217" t="n">
        <v>4.7193</v>
      </c>
      <c r="G217" s="30" t="n">
        <v>0.000977</v>
      </c>
      <c r="H217" s="14" t="n">
        <v>0.8339</v>
      </c>
      <c r="I217" t="n">
        <v>0.405946</v>
      </c>
      <c r="J217" t="n">
        <v>0.0182</v>
      </c>
      <c r="K217" t="n">
        <v>0.070437</v>
      </c>
      <c r="N217" t="n">
        <v>1.8796</v>
      </c>
      <c r="O217" t="inlineStr">
        <is>
          <t>FIX</t>
        </is>
      </c>
    </row>
    <row r="218">
      <c r="A218" t="n">
        <v>15073876</v>
      </c>
      <c r="B218" t="n">
        <v>217</v>
      </c>
      <c r="C218" t="n">
        <v>91735</v>
      </c>
      <c r="D218" t="n">
        <v>28077</v>
      </c>
      <c r="E218" t="n">
        <v>186</v>
      </c>
      <c r="F218" t="n">
        <v>4.6923</v>
      </c>
      <c r="G218" s="30" t="n">
        <v>0.000972</v>
      </c>
      <c r="H218" s="14" t="n">
        <v>0.8349</v>
      </c>
      <c r="I218" t="n">
        <v>0.306066</v>
      </c>
      <c r="J218" t="n">
        <v>0.0066</v>
      </c>
      <c r="K218" t="n">
        <v>0.025228</v>
      </c>
      <c r="L218" t="n">
        <v>1.153</v>
      </c>
      <c r="M218" t="n">
        <v>1.0823</v>
      </c>
      <c r="N218" t="n">
        <v>1.2478</v>
      </c>
      <c r="O218" t="inlineStr">
        <is>
          <t>FIX</t>
        </is>
      </c>
    </row>
    <row r="219">
      <c r="A219" t="n">
        <v>3466867</v>
      </c>
      <c r="B219" t="n">
        <v>218</v>
      </c>
      <c r="C219" t="n">
        <v>10309</v>
      </c>
      <c r="D219" t="n">
        <v>3664</v>
      </c>
      <c r="E219" t="n">
        <v>777</v>
      </c>
      <c r="F219" t="n">
        <v>4.6296</v>
      </c>
      <c r="G219" s="30" t="n">
        <v>0.000959</v>
      </c>
      <c r="H219" s="14" t="n">
        <v>0.8358</v>
      </c>
      <c r="I219" t="n">
        <v>0.355418</v>
      </c>
      <c r="J219" t="n">
        <v>0.2121</v>
      </c>
      <c r="K219" t="n">
        <v>0.005958</v>
      </c>
      <c r="L219" t="n">
        <v>0.5099</v>
      </c>
      <c r="M219" t="n">
        <v>1.3761</v>
      </c>
      <c r="N219" t="n">
        <v>0.7017</v>
      </c>
      <c r="O219" t="inlineStr">
        <is>
          <t>PROTECT</t>
        </is>
      </c>
    </row>
    <row r="220">
      <c r="A220" t="n">
        <v>1415896</v>
      </c>
      <c r="B220" t="n">
        <v>219</v>
      </c>
      <c r="C220" t="n">
        <v>11965</v>
      </c>
      <c r="D220" t="n">
        <v>4641</v>
      </c>
      <c r="E220" t="n">
        <v>174</v>
      </c>
      <c r="F220" t="n">
        <v>4.6231</v>
      </c>
      <c r="G220" s="30" t="n">
        <v>0.000957</v>
      </c>
      <c r="H220" s="14" t="n">
        <v>0.8368</v>
      </c>
      <c r="I220" t="n">
        <v>0.387881</v>
      </c>
      <c r="J220" t="n">
        <v>0.0375</v>
      </c>
      <c r="K220" t="n">
        <v>0.02657</v>
      </c>
      <c r="L220" t="n">
        <v>0.6042999999999999</v>
      </c>
      <c r="M220" t="n">
        <v>1.54</v>
      </c>
      <c r="N220" t="n">
        <v>0.9306</v>
      </c>
      <c r="O220" t="inlineStr">
        <is>
          <t>FIX</t>
        </is>
      </c>
    </row>
    <row r="221">
      <c r="A221" t="n">
        <v>21096019</v>
      </c>
      <c r="B221" t="n">
        <v>220</v>
      </c>
      <c r="C221" t="n">
        <v>22209</v>
      </c>
      <c r="D221" t="n">
        <v>8216</v>
      </c>
      <c r="E221" t="n">
        <v>68</v>
      </c>
      <c r="F221" t="n">
        <v>4.5763</v>
      </c>
      <c r="G221" s="30" t="n">
        <v>0.0009479999999999999</v>
      </c>
      <c r="H221" s="14" t="n">
        <v>0.8377</v>
      </c>
      <c r="I221" t="n">
        <v>0.36994</v>
      </c>
      <c r="J221" t="n">
        <v>0.0083</v>
      </c>
      <c r="K221" t="n">
        <v>0.067299</v>
      </c>
      <c r="L221" t="n">
        <v>0.7609</v>
      </c>
      <c r="M221" t="n">
        <v>0.9696</v>
      </c>
      <c r="N221" t="n">
        <v>0.7377</v>
      </c>
      <c r="O221" t="inlineStr">
        <is>
          <t>FIX</t>
        </is>
      </c>
    </row>
    <row r="222">
      <c r="A222" t="n">
        <v>28864843</v>
      </c>
      <c r="B222" t="n">
        <v>221</v>
      </c>
      <c r="C222" t="n">
        <v>6352</v>
      </c>
      <c r="D222" t="n">
        <v>2477</v>
      </c>
      <c r="E222" t="n">
        <v>306</v>
      </c>
      <c r="F222" t="n">
        <v>4.5033</v>
      </c>
      <c r="G222" s="30" t="n">
        <v>0.000932</v>
      </c>
      <c r="H222" s="14" t="n">
        <v>0.8387</v>
      </c>
      <c r="I222" t="n">
        <v>0.389956</v>
      </c>
      <c r="J222" t="n">
        <v>0.1235</v>
      </c>
      <c r="K222" t="n">
        <v>0.014717</v>
      </c>
      <c r="L222" t="n">
        <v>1.0702</v>
      </c>
      <c r="M222" t="n">
        <v>0.9621</v>
      </c>
      <c r="N222" t="n">
        <v>1.0296</v>
      </c>
      <c r="O222" t="inlineStr">
        <is>
          <t>PROTECT</t>
        </is>
      </c>
    </row>
    <row r="223">
      <c r="A223" t="n">
        <v>9042365</v>
      </c>
      <c r="B223" t="n">
        <v>222</v>
      </c>
      <c r="C223" t="n">
        <v>9071</v>
      </c>
      <c r="D223" t="n">
        <v>3283</v>
      </c>
      <c r="E223" t="n">
        <v>148</v>
      </c>
      <c r="F223" t="n">
        <v>4.4928</v>
      </c>
      <c r="G223" s="30" t="n">
        <v>0.0009300000000000001</v>
      </c>
      <c r="H223" s="14" t="n">
        <v>0.8396</v>
      </c>
      <c r="I223" t="n">
        <v>0.361923</v>
      </c>
      <c r="J223" t="n">
        <v>0.0451</v>
      </c>
      <c r="K223" t="n">
        <v>0.030357</v>
      </c>
      <c r="L223" t="n">
        <v>1.5031</v>
      </c>
      <c r="M223" t="n">
        <v>0.7776</v>
      </c>
      <c r="N223" t="n">
        <v>1.1688</v>
      </c>
      <c r="O223" t="inlineStr">
        <is>
          <t>FIX</t>
        </is>
      </c>
    </row>
    <row r="224">
      <c r="A224" t="n">
        <v>22419532</v>
      </c>
      <c r="B224" t="n">
        <v>223</v>
      </c>
      <c r="C224" t="n">
        <v>39020</v>
      </c>
      <c r="D224" t="n">
        <v>11980</v>
      </c>
      <c r="E224" t="n">
        <v>77</v>
      </c>
      <c r="F224" t="n">
        <v>4.4752</v>
      </c>
      <c r="G224" s="30" t="n">
        <v>0.000927</v>
      </c>
      <c r="H224" s="14" t="n">
        <v>0.8405</v>
      </c>
      <c r="I224" t="n">
        <v>0.307022</v>
      </c>
      <c r="J224" t="n">
        <v>0.0064</v>
      </c>
      <c r="K224" t="n">
        <v>0.05812</v>
      </c>
      <c r="L224" t="n">
        <v>1.3793</v>
      </c>
      <c r="M224" t="n">
        <v>0.6535</v>
      </c>
      <c r="N224" t="n">
        <v>0.9013</v>
      </c>
      <c r="O224" t="inlineStr">
        <is>
          <t>FIX</t>
        </is>
      </c>
    </row>
    <row r="225">
      <c r="A225" t="n">
        <v>27091104</v>
      </c>
      <c r="B225" t="n">
        <v>224</v>
      </c>
      <c r="C225" t="n">
        <v>15325</v>
      </c>
      <c r="D225" t="n">
        <v>4781</v>
      </c>
      <c r="E225" t="n">
        <v>351</v>
      </c>
      <c r="F225" t="n">
        <v>4.4599</v>
      </c>
      <c r="G225" s="30" t="n">
        <v>0.000923</v>
      </c>
      <c r="H225" s="14" t="n">
        <v>0.8415</v>
      </c>
      <c r="I225" t="n">
        <v>0.311974</v>
      </c>
      <c r="J225" t="n">
        <v>0.07340000000000001</v>
      </c>
      <c r="K225" t="n">
        <v>0.012706</v>
      </c>
      <c r="L225" t="n">
        <v>0.8225</v>
      </c>
      <c r="M225" t="n">
        <v>1.1452</v>
      </c>
      <c r="N225" t="n">
        <v>0.9419</v>
      </c>
      <c r="O225" t="inlineStr">
        <is>
          <t>PROTECT</t>
        </is>
      </c>
    </row>
    <row r="226">
      <c r="A226" t="n">
        <v>26389108</v>
      </c>
      <c r="B226" t="n">
        <v>225</v>
      </c>
      <c r="C226" t="n">
        <v>13571</v>
      </c>
      <c r="D226" t="n">
        <v>2263</v>
      </c>
      <c r="E226" t="n">
        <v>66</v>
      </c>
      <c r="F226" t="n">
        <v>4.4479</v>
      </c>
      <c r="G226" s="30" t="n">
        <v>0.0009210000000000001</v>
      </c>
      <c r="H226" s="14" t="n">
        <v>0.8424</v>
      </c>
      <c r="I226" t="n">
        <v>0.166753</v>
      </c>
      <c r="J226" t="n">
        <v>0.0292</v>
      </c>
      <c r="K226" t="n">
        <v>0.06739199999999999</v>
      </c>
      <c r="L226" t="n">
        <v>1.8722</v>
      </c>
      <c r="M226" t="n">
        <v>0.7399</v>
      </c>
      <c r="N226" t="n">
        <v>1.3853</v>
      </c>
      <c r="O226" t="inlineStr">
        <is>
          <t>FIX</t>
        </is>
      </c>
    </row>
    <row r="227">
      <c r="A227" t="n">
        <v>29880998</v>
      </c>
      <c r="B227" t="n">
        <v>226</v>
      </c>
      <c r="C227" t="n">
        <v>9789</v>
      </c>
      <c r="D227" t="n">
        <v>3114</v>
      </c>
      <c r="E227" t="n">
        <v>1137</v>
      </c>
      <c r="F227" t="n">
        <v>4.4013</v>
      </c>
      <c r="G227" s="30" t="n">
        <v>0.000911</v>
      </c>
      <c r="H227" s="14" t="n">
        <v>0.8433</v>
      </c>
      <c r="I227" t="n">
        <v>0.318112</v>
      </c>
      <c r="J227" t="n">
        <v>0.3651</v>
      </c>
      <c r="K227" t="n">
        <v>0.003871</v>
      </c>
      <c r="L227" t="n">
        <v>0.7883</v>
      </c>
      <c r="M227" t="n">
        <v>1.1346</v>
      </c>
      <c r="N227" t="n">
        <v>0.8943</v>
      </c>
      <c r="O227" t="inlineStr">
        <is>
          <t>PROTECT</t>
        </is>
      </c>
    </row>
    <row r="228">
      <c r="A228" t="n">
        <v>20817326</v>
      </c>
      <c r="B228" t="n">
        <v>227</v>
      </c>
      <c r="C228" t="n">
        <v>36496</v>
      </c>
      <c r="D228" t="n">
        <v>15643</v>
      </c>
      <c r="E228" t="n">
        <v>130</v>
      </c>
      <c r="F228" t="n">
        <v>4.3629</v>
      </c>
      <c r="G228" s="30" t="n">
        <v>0.000903</v>
      </c>
      <c r="H228" s="14" t="n">
        <v>0.8442</v>
      </c>
      <c r="I228" t="n">
        <v>0.428622</v>
      </c>
      <c r="J228" t="n">
        <v>0.0083</v>
      </c>
      <c r="K228" t="n">
        <v>0.033561</v>
      </c>
      <c r="L228" t="n">
        <v>0.7047</v>
      </c>
      <c r="M228" t="n">
        <v>1.1118</v>
      </c>
      <c r="N228" t="n">
        <v>0.7835</v>
      </c>
      <c r="O228" t="inlineStr">
        <is>
          <t>FIX</t>
        </is>
      </c>
    </row>
    <row r="229">
      <c r="A229" t="n">
        <v>25998435</v>
      </c>
      <c r="B229" t="n">
        <v>228</v>
      </c>
      <c r="C229" t="n">
        <v>15596</v>
      </c>
      <c r="D229" t="n">
        <v>5307</v>
      </c>
      <c r="E229" t="n">
        <v>136</v>
      </c>
      <c r="F229" t="n">
        <v>4.3474</v>
      </c>
      <c r="G229" s="30" t="n">
        <v>0.0009</v>
      </c>
      <c r="H229" s="14" t="n">
        <v>0.8451</v>
      </c>
      <c r="I229" t="n">
        <v>0.34028</v>
      </c>
      <c r="J229" t="n">
        <v>0.0256</v>
      </c>
      <c r="K229" t="n">
        <v>0.031966</v>
      </c>
      <c r="L229" t="n">
        <v>0.979</v>
      </c>
      <c r="M229" t="n">
        <v>0.9879</v>
      </c>
      <c r="N229" t="n">
        <v>0.9671</v>
      </c>
      <c r="O229" t="inlineStr">
        <is>
          <t>FIX</t>
        </is>
      </c>
    </row>
    <row r="230">
      <c r="A230" t="n">
        <v>30427825</v>
      </c>
      <c r="B230" t="n">
        <v>229</v>
      </c>
      <c r="C230" t="n">
        <v>14278</v>
      </c>
      <c r="D230" t="n">
        <v>3498</v>
      </c>
      <c r="E230" t="n">
        <v>231</v>
      </c>
      <c r="F230" t="n">
        <v>4.3435</v>
      </c>
      <c r="G230" s="30" t="n">
        <v>0.000899</v>
      </c>
      <c r="H230" s="14" t="n">
        <v>0.846</v>
      </c>
      <c r="I230" t="n">
        <v>0.244992</v>
      </c>
      <c r="J230" t="n">
        <v>0.066</v>
      </c>
      <c r="K230" t="n">
        <v>0.018803</v>
      </c>
      <c r="L230" t="n">
        <v>0.7712</v>
      </c>
      <c r="M230" t="n">
        <v>1.1399</v>
      </c>
      <c r="N230" t="n">
        <v>0.8791</v>
      </c>
      <c r="O230" t="inlineStr">
        <is>
          <t>FIX</t>
        </is>
      </c>
    </row>
    <row r="231">
      <c r="A231" t="n">
        <v>3313894</v>
      </c>
      <c r="B231" t="n">
        <v>230</v>
      </c>
      <c r="C231" t="n">
        <v>11754</v>
      </c>
      <c r="D231" t="n">
        <v>3953</v>
      </c>
      <c r="E231" t="n">
        <v>69</v>
      </c>
      <c r="F231" t="n">
        <v>4.3144</v>
      </c>
      <c r="G231" s="30" t="n">
        <v>0.000893</v>
      </c>
      <c r="H231" s="14" t="n">
        <v>0.8469</v>
      </c>
      <c r="I231" t="n">
        <v>0.336311</v>
      </c>
      <c r="J231" t="n">
        <v>0.0175</v>
      </c>
      <c r="K231" t="n">
        <v>0.062527</v>
      </c>
      <c r="L231" t="n">
        <v>0.975</v>
      </c>
      <c r="M231" t="n">
        <v>1.0461</v>
      </c>
      <c r="N231" t="n">
        <v>1.02</v>
      </c>
      <c r="O231" t="inlineStr">
        <is>
          <t>FIX</t>
        </is>
      </c>
    </row>
    <row r="232">
      <c r="A232" t="n">
        <v>18091420</v>
      </c>
      <c r="B232" t="n">
        <v>231</v>
      </c>
      <c r="C232" t="n">
        <v>6732</v>
      </c>
      <c r="D232" t="n">
        <v>3111</v>
      </c>
      <c r="E232" t="n">
        <v>555</v>
      </c>
      <c r="F232" t="n">
        <v>4.304</v>
      </c>
      <c r="G232" s="30" t="n">
        <v>0.000891</v>
      </c>
      <c r="H232" s="14" t="n">
        <v>0.8478</v>
      </c>
      <c r="I232" t="n">
        <v>0.462121</v>
      </c>
      <c r="J232" t="n">
        <v>0.1784</v>
      </c>
      <c r="K232" t="n">
        <v>0.007755</v>
      </c>
      <c r="L232" t="n">
        <v>0.4193</v>
      </c>
      <c r="M232" t="n">
        <v>1.3597</v>
      </c>
      <c r="N232" t="n">
        <v>0.5701000000000001</v>
      </c>
      <c r="O232" t="inlineStr">
        <is>
          <t>PROTECT</t>
        </is>
      </c>
    </row>
    <row r="233">
      <c r="A233" t="n">
        <v>5867090</v>
      </c>
      <c r="B233" t="n">
        <v>232</v>
      </c>
      <c r="C233" t="n">
        <v>62059</v>
      </c>
      <c r="D233" t="n">
        <v>19781</v>
      </c>
      <c r="E233" t="n">
        <v>517</v>
      </c>
      <c r="F233" t="n">
        <v>4.2989</v>
      </c>
      <c r="G233" s="30" t="n">
        <v>0.0008899999999999999</v>
      </c>
      <c r="H233" s="14" t="n">
        <v>0.8487</v>
      </c>
      <c r="I233" t="n">
        <v>0.318745</v>
      </c>
      <c r="J233" t="n">
        <v>0.0261</v>
      </c>
      <c r="K233" t="n">
        <v>0.008314999999999999</v>
      </c>
      <c r="L233" t="n">
        <v>1.0988</v>
      </c>
      <c r="M233" t="n">
        <v>1.0543</v>
      </c>
      <c r="N233" t="n">
        <v>1.1585</v>
      </c>
      <c r="O233" t="inlineStr">
        <is>
          <t>PROTECT</t>
        </is>
      </c>
    </row>
    <row r="234">
      <c r="A234" t="n">
        <v>26071516</v>
      </c>
      <c r="B234" t="n">
        <v>233</v>
      </c>
      <c r="C234" t="n">
        <v>7709</v>
      </c>
      <c r="D234" t="n">
        <v>2875</v>
      </c>
      <c r="E234" t="n">
        <v>117</v>
      </c>
      <c r="F234" t="n">
        <v>4.296</v>
      </c>
      <c r="G234" s="30" t="n">
        <v>0.0008899999999999999</v>
      </c>
      <c r="H234" s="14" t="n">
        <v>0.8496</v>
      </c>
      <c r="I234" t="n">
        <v>0.372941</v>
      </c>
      <c r="J234" t="n">
        <v>0.0407</v>
      </c>
      <c r="K234" t="n">
        <v>0.036718</v>
      </c>
      <c r="L234" t="n">
        <v>0.7725</v>
      </c>
      <c r="M234" t="n">
        <v>1.1091</v>
      </c>
      <c r="N234" t="n">
        <v>0.8568</v>
      </c>
      <c r="O234" t="inlineStr">
        <is>
          <t>FIX</t>
        </is>
      </c>
    </row>
    <row r="235">
      <c r="A235" t="n">
        <v>28729609</v>
      </c>
      <c r="B235" t="n">
        <v>234</v>
      </c>
      <c r="C235" t="n">
        <v>12652</v>
      </c>
      <c r="D235" t="n">
        <v>3993</v>
      </c>
      <c r="E235" t="n">
        <v>417</v>
      </c>
      <c r="F235" t="n">
        <v>4.26</v>
      </c>
      <c r="G235" s="30" t="n">
        <v>0.000882</v>
      </c>
      <c r="H235" s="14" t="n">
        <v>0.8504</v>
      </c>
      <c r="I235" t="n">
        <v>0.315602</v>
      </c>
      <c r="J235" t="n">
        <v>0.1044</v>
      </c>
      <c r="K235" t="n">
        <v>0.010216</v>
      </c>
      <c r="L235" t="n">
        <v>0.9683</v>
      </c>
      <c r="M235" t="n">
        <v>0.8879</v>
      </c>
      <c r="N235" t="n">
        <v>0.8598</v>
      </c>
      <c r="O235" t="inlineStr">
        <is>
          <t>PROTECT</t>
        </is>
      </c>
    </row>
    <row r="236">
      <c r="A236" t="n">
        <v>6810200</v>
      </c>
      <c r="B236" t="n">
        <v>235</v>
      </c>
      <c r="C236" t="n">
        <v>96929</v>
      </c>
      <c r="D236" t="n">
        <v>35151</v>
      </c>
      <c r="E236" t="n">
        <v>1060</v>
      </c>
      <c r="F236" t="n">
        <v>4.2419</v>
      </c>
      <c r="G236" s="30" t="n">
        <v>0.000878</v>
      </c>
      <c r="H236" s="14" t="n">
        <v>0.8512999999999999</v>
      </c>
      <c r="I236" t="n">
        <v>0.362647</v>
      </c>
      <c r="J236" t="n">
        <v>0.0302</v>
      </c>
      <c r="K236" t="n">
        <v>0.004002</v>
      </c>
      <c r="L236" t="n">
        <v>1.1916</v>
      </c>
      <c r="M236" t="n">
        <v>0.7616000000000001</v>
      </c>
      <c r="N236" t="n">
        <v>0.9075</v>
      </c>
      <c r="O236" t="inlineStr">
        <is>
          <t>PROTECT</t>
        </is>
      </c>
    </row>
    <row r="237">
      <c r="A237" t="n">
        <v>3877975</v>
      </c>
      <c r="B237" t="n">
        <v>236</v>
      </c>
      <c r="C237" t="n">
        <v>22968</v>
      </c>
      <c r="D237" t="n">
        <v>13255</v>
      </c>
      <c r="E237" t="n">
        <v>755</v>
      </c>
      <c r="F237" t="n">
        <v>4.2246</v>
      </c>
      <c r="G237" s="30" t="n">
        <v>0.000875</v>
      </c>
      <c r="H237" s="14" t="n">
        <v>0.8522</v>
      </c>
      <c r="I237" t="n">
        <v>0.577107</v>
      </c>
      <c r="J237" t="n">
        <v>0.057</v>
      </c>
      <c r="K237" t="n">
        <v>0.005596</v>
      </c>
      <c r="L237" t="n">
        <v>0.7707000000000001</v>
      </c>
      <c r="M237" t="n">
        <v>0.9012</v>
      </c>
      <c r="N237" t="n">
        <v>0.6946</v>
      </c>
      <c r="O237" t="inlineStr">
        <is>
          <t>PROTECT</t>
        </is>
      </c>
    </row>
    <row r="238">
      <c r="A238" t="n">
        <v>20717215</v>
      </c>
      <c r="B238" t="n">
        <v>237</v>
      </c>
      <c r="C238" t="n">
        <v>15868</v>
      </c>
      <c r="D238" t="n">
        <v>5102</v>
      </c>
      <c r="E238" t="n">
        <v>73</v>
      </c>
      <c r="F238" t="n">
        <v>4.2093</v>
      </c>
      <c r="G238" s="30" t="n">
        <v>0.0008720000000000001</v>
      </c>
      <c r="H238" s="14" t="n">
        <v>0.8531</v>
      </c>
      <c r="I238" t="n">
        <v>0.321528</v>
      </c>
      <c r="J238" t="n">
        <v>0.0143</v>
      </c>
      <c r="K238" t="n">
        <v>0.057662</v>
      </c>
      <c r="L238" t="n">
        <v>1.5403</v>
      </c>
      <c r="M238" t="n">
        <v>0.7514</v>
      </c>
      <c r="N238" t="n">
        <v>1.1574</v>
      </c>
      <c r="O238" t="inlineStr">
        <is>
          <t>FIX</t>
        </is>
      </c>
    </row>
    <row r="239">
      <c r="A239" t="n">
        <v>12700456</v>
      </c>
      <c r="B239" t="n">
        <v>238</v>
      </c>
      <c r="C239" t="n">
        <v>9876</v>
      </c>
      <c r="D239" t="n">
        <v>3700</v>
      </c>
      <c r="E239" t="n">
        <v>42</v>
      </c>
      <c r="F239" t="n">
        <v>4.165</v>
      </c>
      <c r="G239" s="30" t="n">
        <v>0.000862</v>
      </c>
      <c r="H239" s="14" t="n">
        <v>0.8539</v>
      </c>
      <c r="I239" t="n">
        <v>0.374646</v>
      </c>
      <c r="J239" t="n">
        <v>0.0114</v>
      </c>
      <c r="K239" t="n">
        <v>0.09916700000000001</v>
      </c>
      <c r="L239" t="n">
        <v>0.3853</v>
      </c>
      <c r="M239" t="n">
        <v>1.6455</v>
      </c>
      <c r="N239" t="n">
        <v>0.6341</v>
      </c>
      <c r="O239" t="inlineStr">
        <is>
          <t>FIX</t>
        </is>
      </c>
    </row>
    <row r="240">
      <c r="A240" t="n">
        <v>25119476</v>
      </c>
      <c r="B240" t="n">
        <v>239</v>
      </c>
      <c r="C240" t="n">
        <v>16094</v>
      </c>
      <c r="D240" t="n">
        <v>5232</v>
      </c>
      <c r="E240" t="n">
        <v>202</v>
      </c>
      <c r="F240" t="n">
        <v>4.1533</v>
      </c>
      <c r="G240" s="30" t="n">
        <v>0.00086</v>
      </c>
      <c r="H240" s="14" t="n">
        <v>0.8548</v>
      </c>
      <c r="I240" t="n">
        <v>0.32509</v>
      </c>
      <c r="J240" t="n">
        <v>0.0386</v>
      </c>
      <c r="K240" t="n">
        <v>0.020561</v>
      </c>
      <c r="L240" t="n">
        <v>0.6312</v>
      </c>
      <c r="M240" t="n">
        <v>1.1773</v>
      </c>
      <c r="N240" t="n">
        <v>0.743</v>
      </c>
      <c r="O240" t="inlineStr">
        <is>
          <t>FIX</t>
        </is>
      </c>
    </row>
    <row r="241">
      <c r="A241" t="n">
        <v>28795043</v>
      </c>
      <c r="B241" t="n">
        <v>240</v>
      </c>
      <c r="C241" t="n">
        <v>42824</v>
      </c>
      <c r="D241" t="n">
        <v>11250</v>
      </c>
      <c r="E241" t="n">
        <v>387</v>
      </c>
      <c r="F241" t="n">
        <v>4.1497</v>
      </c>
      <c r="G241" s="30" t="n">
        <v>0.000859</v>
      </c>
      <c r="H241" s="14" t="n">
        <v>0.8556</v>
      </c>
      <c r="I241" t="n">
        <v>0.262703</v>
      </c>
      <c r="J241" t="n">
        <v>0.0344</v>
      </c>
      <c r="K241" t="n">
        <v>0.010723</v>
      </c>
      <c r="L241" t="n">
        <v>1.165</v>
      </c>
      <c r="M241" t="n">
        <v>0.8217</v>
      </c>
      <c r="N241" t="n">
        <v>0.9573</v>
      </c>
      <c r="O241" t="inlineStr">
        <is>
          <t>PROTECT</t>
        </is>
      </c>
    </row>
    <row r="242">
      <c r="A242" t="n">
        <v>24119478</v>
      </c>
      <c r="B242" t="n">
        <v>241</v>
      </c>
      <c r="C242" t="n">
        <v>12200</v>
      </c>
      <c r="D242" t="n">
        <v>3594</v>
      </c>
      <c r="E242" t="n">
        <v>85</v>
      </c>
      <c r="F242" t="n">
        <v>4.1486</v>
      </c>
      <c r="G242" s="30" t="n">
        <v>0.000859</v>
      </c>
      <c r="H242" s="14" t="n">
        <v>0.8565</v>
      </c>
      <c r="I242" t="n">
        <v>0.29459</v>
      </c>
      <c r="J242" t="n">
        <v>0.0237</v>
      </c>
      <c r="K242" t="n">
        <v>0.048807</v>
      </c>
      <c r="L242" t="n">
        <v>1.0443</v>
      </c>
      <c r="M242" t="n">
        <v>0.9147</v>
      </c>
      <c r="N242" t="n">
        <v>0.9552</v>
      </c>
      <c r="O242" t="inlineStr">
        <is>
          <t>FIX</t>
        </is>
      </c>
    </row>
    <row r="243">
      <c r="A243" t="n">
        <v>22726403</v>
      </c>
      <c r="B243" t="n">
        <v>242</v>
      </c>
      <c r="C243" t="n">
        <v>6270</v>
      </c>
      <c r="D243" t="n">
        <v>1873</v>
      </c>
      <c r="E243" t="n">
        <v>113</v>
      </c>
      <c r="F243" t="n">
        <v>4.0434</v>
      </c>
      <c r="G243" s="30" t="n">
        <v>0.000837</v>
      </c>
      <c r="H243" s="14" t="n">
        <v>0.8573</v>
      </c>
      <c r="I243" t="n">
        <v>0.298724</v>
      </c>
      <c r="J243" t="n">
        <v>0.0603</v>
      </c>
      <c r="K243" t="n">
        <v>0.035782</v>
      </c>
      <c r="L243" t="n">
        <v>0.7762</v>
      </c>
      <c r="M243" t="n">
        <v>1.0254</v>
      </c>
      <c r="N243" t="n">
        <v>0.7959000000000001</v>
      </c>
      <c r="O243" t="inlineStr">
        <is>
          <t>FIX</t>
        </is>
      </c>
    </row>
    <row r="244">
      <c r="A244" t="n">
        <v>15321102</v>
      </c>
      <c r="B244" t="n">
        <v>243</v>
      </c>
      <c r="C244" t="n">
        <v>5236</v>
      </c>
      <c r="D244" t="n">
        <v>1977</v>
      </c>
      <c r="E244" t="n">
        <v>161</v>
      </c>
      <c r="F244" t="n">
        <v>3.9747</v>
      </c>
      <c r="G244" s="30" t="n">
        <v>0.0008229999999999999</v>
      </c>
      <c r="H244" s="14" t="n">
        <v>0.8582</v>
      </c>
      <c r="I244" t="n">
        <v>0.377578</v>
      </c>
      <c r="J244" t="n">
        <v>0.0814</v>
      </c>
      <c r="K244" t="n">
        <v>0.024687</v>
      </c>
      <c r="L244" t="n">
        <v>0.9751</v>
      </c>
      <c r="M244" t="n">
        <v>0.9213</v>
      </c>
      <c r="N244" t="n">
        <v>0.8984</v>
      </c>
      <c r="O244" t="inlineStr">
        <is>
          <t>FIX</t>
        </is>
      </c>
    </row>
    <row r="245">
      <c r="A245" t="n">
        <v>13300124</v>
      </c>
      <c r="B245" t="n">
        <v>244</v>
      </c>
      <c r="C245" t="n">
        <v>19317</v>
      </c>
      <c r="D245" t="n">
        <v>5808</v>
      </c>
      <c r="E245" t="n">
        <v>130</v>
      </c>
      <c r="F245" t="n">
        <v>3.9628</v>
      </c>
      <c r="G245" s="30" t="n">
        <v>0.000821</v>
      </c>
      <c r="H245" s="14" t="n">
        <v>0.859</v>
      </c>
      <c r="I245" t="n">
        <v>0.300668</v>
      </c>
      <c r="J245" t="n">
        <v>0.0224</v>
      </c>
      <c r="K245" t="n">
        <v>0.030483</v>
      </c>
      <c r="L245" t="n">
        <v>0.1043</v>
      </c>
      <c r="M245" t="n">
        <v>3.0202</v>
      </c>
      <c r="N245" t="n">
        <v>0.3151</v>
      </c>
      <c r="O245" t="inlineStr">
        <is>
          <t>FIX</t>
        </is>
      </c>
    </row>
    <row r="246">
      <c r="A246" t="n">
        <v>18498193</v>
      </c>
      <c r="B246" t="n">
        <v>245</v>
      </c>
      <c r="C246" t="n">
        <v>15383</v>
      </c>
      <c r="D246" t="n">
        <v>3869</v>
      </c>
      <c r="E246" t="n">
        <v>227</v>
      </c>
      <c r="F246" t="n">
        <v>3.9564</v>
      </c>
      <c r="G246" s="30" t="n">
        <v>0.000819</v>
      </c>
      <c r="H246" s="14" t="n">
        <v>0.8598</v>
      </c>
      <c r="I246" t="n">
        <v>0.251511</v>
      </c>
      <c r="J246" t="n">
        <v>0.0587</v>
      </c>
      <c r="K246" t="n">
        <v>0.017429</v>
      </c>
      <c r="L246" t="n">
        <v>0.6551</v>
      </c>
      <c r="M246" t="n">
        <v>1.1294</v>
      </c>
      <c r="N246" t="n">
        <v>0.7398</v>
      </c>
      <c r="O246" t="inlineStr">
        <is>
          <t>PROTECT</t>
        </is>
      </c>
    </row>
    <row r="247">
      <c r="A247" t="n">
        <v>22589171</v>
      </c>
      <c r="B247" t="n">
        <v>246</v>
      </c>
      <c r="C247" t="n">
        <v>16614</v>
      </c>
      <c r="D247" t="n">
        <v>3148</v>
      </c>
      <c r="E247" t="n">
        <v>109</v>
      </c>
      <c r="F247" t="n">
        <v>3.9534</v>
      </c>
      <c r="G247" s="30" t="n">
        <v>0.000819</v>
      </c>
      <c r="H247" s="14" t="n">
        <v>0.8606</v>
      </c>
      <c r="I247" t="n">
        <v>0.189479</v>
      </c>
      <c r="J247" t="n">
        <v>0.0346</v>
      </c>
      <c r="K247" t="n">
        <v>0.03627</v>
      </c>
      <c r="L247" t="n">
        <v>1.3141</v>
      </c>
      <c r="M247" t="n">
        <v>0.837</v>
      </c>
      <c r="N247" t="n">
        <v>1.0999</v>
      </c>
      <c r="O247" t="inlineStr">
        <is>
          <t>FIX</t>
        </is>
      </c>
    </row>
    <row r="248">
      <c r="A248" t="n">
        <v>28389117</v>
      </c>
      <c r="B248" t="n">
        <v>247</v>
      </c>
      <c r="C248" t="n">
        <v>19759</v>
      </c>
      <c r="D248" t="n">
        <v>5956</v>
      </c>
      <c r="E248" t="n">
        <v>122</v>
      </c>
      <c r="F248" t="n">
        <v>3.9283</v>
      </c>
      <c r="G248" s="30" t="n">
        <v>0.000813</v>
      </c>
      <c r="H248" s="14" t="n">
        <v>0.8614000000000001</v>
      </c>
      <c r="I248" t="n">
        <v>0.301432</v>
      </c>
      <c r="J248" t="n">
        <v>0.0205</v>
      </c>
      <c r="K248" t="n">
        <v>0.032199</v>
      </c>
      <c r="L248" t="n">
        <v>2.1021</v>
      </c>
      <c r="M248" t="n">
        <v>0.5817</v>
      </c>
      <c r="N248" t="n">
        <v>1.2227</v>
      </c>
      <c r="O248" t="inlineStr">
        <is>
          <t>FIX</t>
        </is>
      </c>
    </row>
    <row r="249">
      <c r="A249" t="n">
        <v>408759</v>
      </c>
      <c r="B249" t="n">
        <v>248</v>
      </c>
      <c r="C249" t="n">
        <v>18808</v>
      </c>
      <c r="D249" t="n">
        <v>8513</v>
      </c>
      <c r="E249" t="n">
        <v>1811</v>
      </c>
      <c r="F249" t="n">
        <v>3.9016</v>
      </c>
      <c r="G249" s="30" t="n">
        <v>0.000808</v>
      </c>
      <c r="H249" s="14" t="n">
        <v>0.8622</v>
      </c>
      <c r="I249" t="n">
        <v>0.452627</v>
      </c>
      <c r="J249" t="n">
        <v>0.2127</v>
      </c>
      <c r="K249" t="n">
        <v>0.002154</v>
      </c>
      <c r="L249" t="n">
        <v>0.7032</v>
      </c>
      <c r="M249" t="n">
        <v>1.1053</v>
      </c>
      <c r="N249" t="n">
        <v>0.7773</v>
      </c>
      <c r="O249" t="inlineStr">
        <is>
          <t>PROTECT</t>
        </is>
      </c>
    </row>
    <row r="250">
      <c r="A250" t="n">
        <v>13576407</v>
      </c>
      <c r="B250" t="n">
        <v>249</v>
      </c>
      <c r="C250" t="n">
        <v>25560</v>
      </c>
      <c r="D250" t="n">
        <v>7438</v>
      </c>
      <c r="E250" t="n">
        <v>61</v>
      </c>
      <c r="F250" t="n">
        <v>3.8982</v>
      </c>
      <c r="G250" s="30" t="n">
        <v>0.000807</v>
      </c>
      <c r="H250" s="14" t="n">
        <v>0.8631</v>
      </c>
      <c r="I250" t="n">
        <v>0.291002</v>
      </c>
      <c r="J250" t="n">
        <v>0.008200000000000001</v>
      </c>
      <c r="K250" t="n">
        <v>0.063906</v>
      </c>
      <c r="L250" t="n">
        <v>0.5314</v>
      </c>
      <c r="M250" t="n">
        <v>1.0592</v>
      </c>
      <c r="N250" t="n">
        <v>0.5628</v>
      </c>
      <c r="O250" t="inlineStr">
        <is>
          <t>FIX</t>
        </is>
      </c>
    </row>
    <row r="251">
      <c r="A251" t="n">
        <v>12288258</v>
      </c>
      <c r="B251" t="n">
        <v>250</v>
      </c>
      <c r="C251" t="n">
        <v>14596</v>
      </c>
      <c r="D251" t="n">
        <v>3899</v>
      </c>
      <c r="E251" t="n">
        <v>87</v>
      </c>
      <c r="F251" t="n">
        <v>3.886</v>
      </c>
      <c r="G251" s="30" t="n">
        <v>0.0008050000000000001</v>
      </c>
      <c r="H251" s="14" t="n">
        <v>0.8639</v>
      </c>
      <c r="I251" t="n">
        <v>0.267128</v>
      </c>
      <c r="J251" t="n">
        <v>0.0223</v>
      </c>
      <c r="K251" t="n">
        <v>0.044667</v>
      </c>
      <c r="L251" t="n">
        <v>2.3574</v>
      </c>
      <c r="M251" t="n">
        <v>0.4826</v>
      </c>
      <c r="N251" t="n">
        <v>1.1376</v>
      </c>
      <c r="O251" t="inlineStr">
        <is>
          <t>FIX</t>
        </is>
      </c>
    </row>
    <row r="252">
      <c r="A252" t="n">
        <v>23330020</v>
      </c>
      <c r="B252" t="n">
        <v>251</v>
      </c>
      <c r="C252" t="n">
        <v>8636</v>
      </c>
      <c r="D252" t="n">
        <v>3397</v>
      </c>
      <c r="E252" t="n">
        <v>128</v>
      </c>
      <c r="F252" t="n">
        <v>3.853</v>
      </c>
      <c r="G252" s="30" t="n">
        <v>0.000798</v>
      </c>
      <c r="H252" s="14" t="n">
        <v>0.8647</v>
      </c>
      <c r="I252" t="n">
        <v>0.393353</v>
      </c>
      <c r="J252" t="n">
        <v>0.0377</v>
      </c>
      <c r="K252" t="n">
        <v>0.030102</v>
      </c>
      <c r="L252" t="n">
        <v>0.9378</v>
      </c>
      <c r="M252" t="n">
        <v>0.7649</v>
      </c>
      <c r="N252" t="n">
        <v>0.7173</v>
      </c>
      <c r="O252" t="inlineStr">
        <is>
          <t>FIX</t>
        </is>
      </c>
    </row>
    <row r="253">
      <c r="A253" t="n">
        <v>15823034</v>
      </c>
      <c r="B253" t="n">
        <v>252</v>
      </c>
      <c r="C253" t="n">
        <v>5943</v>
      </c>
      <c r="D253" t="n">
        <v>1980</v>
      </c>
      <c r="E253" t="n">
        <v>101</v>
      </c>
      <c r="F253" t="n">
        <v>3.839</v>
      </c>
      <c r="G253" s="30" t="n">
        <v>0.000795</v>
      </c>
      <c r="H253" s="14" t="n">
        <v>0.8653999999999999</v>
      </c>
      <c r="I253" t="n">
        <v>0.333165</v>
      </c>
      <c r="J253" t="n">
        <v>0.051</v>
      </c>
      <c r="K253" t="n">
        <v>0.038009</v>
      </c>
      <c r="L253" t="n">
        <v>0.8070000000000001</v>
      </c>
      <c r="M253" t="n">
        <v>1.1183</v>
      </c>
      <c r="N253" t="n">
        <v>0.9025</v>
      </c>
      <c r="O253" t="inlineStr">
        <is>
          <t>FIX</t>
        </is>
      </c>
    </row>
    <row r="254">
      <c r="A254" t="n">
        <v>26949222</v>
      </c>
      <c r="B254" t="n">
        <v>253</v>
      </c>
      <c r="C254" t="n">
        <v>11824</v>
      </c>
      <c r="D254" t="n">
        <v>3593</v>
      </c>
      <c r="E254" t="n">
        <v>348</v>
      </c>
      <c r="F254" t="n">
        <v>3.8388</v>
      </c>
      <c r="G254" s="30" t="n">
        <v>0.000795</v>
      </c>
      <c r="H254" s="14" t="n">
        <v>0.8662</v>
      </c>
      <c r="I254" t="n">
        <v>0.303873</v>
      </c>
      <c r="J254" t="n">
        <v>0.0969</v>
      </c>
      <c r="K254" t="n">
        <v>0.011031</v>
      </c>
      <c r="L254" t="n">
        <v>0.7596000000000001</v>
      </c>
      <c r="M254" t="n">
        <v>0.9106</v>
      </c>
      <c r="N254" t="n">
        <v>0.6917</v>
      </c>
      <c r="O254" t="inlineStr">
        <is>
          <t>PROTECT</t>
        </is>
      </c>
    </row>
    <row r="255">
      <c r="A255" t="n">
        <v>14466837</v>
      </c>
      <c r="B255" t="n">
        <v>254</v>
      </c>
      <c r="C255" t="n">
        <v>10023</v>
      </c>
      <c r="D255" t="n">
        <v>3425</v>
      </c>
      <c r="E255" t="n">
        <v>51</v>
      </c>
      <c r="F255" t="n">
        <v>3.8363</v>
      </c>
      <c r="G255" s="30" t="n">
        <v>0.000794</v>
      </c>
      <c r="H255" s="14" t="n">
        <v>0.867</v>
      </c>
      <c r="I255" t="n">
        <v>0.341714</v>
      </c>
      <c r="J255" t="n">
        <v>0.0149</v>
      </c>
      <c r="K255" t="n">
        <v>0.075221</v>
      </c>
      <c r="L255" t="n">
        <v>1.0812</v>
      </c>
      <c r="M255" t="n">
        <v>0.8237</v>
      </c>
      <c r="N255" t="n">
        <v>0.8905</v>
      </c>
      <c r="O255" t="inlineStr">
        <is>
          <t>FIX</t>
        </is>
      </c>
    </row>
    <row r="256">
      <c r="A256" t="n">
        <v>14006998</v>
      </c>
      <c r="B256" t="n">
        <v>255</v>
      </c>
      <c r="C256" t="n">
        <v>7238</v>
      </c>
      <c r="D256" t="n">
        <v>2232</v>
      </c>
      <c r="E256" t="n">
        <v>37</v>
      </c>
      <c r="F256" t="n">
        <v>3.7823</v>
      </c>
      <c r="G256" s="30" t="n">
        <v>0.000783</v>
      </c>
      <c r="H256" s="14" t="n">
        <v>0.8678</v>
      </c>
      <c r="I256" t="n">
        <v>0.308372</v>
      </c>
      <c r="J256" t="n">
        <v>0.0166</v>
      </c>
      <c r="K256" t="n">
        <v>0.102225</v>
      </c>
      <c r="L256" t="n">
        <v>1.0797</v>
      </c>
      <c r="M256" t="n">
        <v>0.7848000000000001</v>
      </c>
      <c r="N256" t="n">
        <v>0.8474</v>
      </c>
      <c r="O256" t="inlineStr">
        <is>
          <t>FIX</t>
        </is>
      </c>
    </row>
    <row r="257">
      <c r="A257" t="n">
        <v>12843316</v>
      </c>
      <c r="B257" t="n">
        <v>256</v>
      </c>
      <c r="C257" t="n">
        <v>9592</v>
      </c>
      <c r="D257" t="n">
        <v>6501</v>
      </c>
      <c r="E257" t="n">
        <v>263</v>
      </c>
      <c r="F257" t="n">
        <v>3.7652</v>
      </c>
      <c r="G257" s="30" t="n">
        <v>0.00078</v>
      </c>
      <c r="H257" s="14" t="n">
        <v>0.8686</v>
      </c>
      <c r="I257" t="n">
        <v>0.677752</v>
      </c>
      <c r="J257" t="n">
        <v>0.0405</v>
      </c>
      <c r="K257" t="n">
        <v>0.014316</v>
      </c>
      <c r="L257" t="n">
        <v>1.5767</v>
      </c>
      <c r="M257" t="n">
        <v>0.7257</v>
      </c>
      <c r="N257" t="n">
        <v>1.1443</v>
      </c>
      <c r="O257" t="inlineStr">
        <is>
          <t>PROTECT</t>
        </is>
      </c>
    </row>
    <row r="258">
      <c r="A258" t="n">
        <v>22451482</v>
      </c>
      <c r="B258" t="n">
        <v>257</v>
      </c>
      <c r="C258" t="n">
        <v>11991</v>
      </c>
      <c r="D258" t="n">
        <v>4851</v>
      </c>
      <c r="E258" t="n">
        <v>169</v>
      </c>
      <c r="F258" t="n">
        <v>3.7615</v>
      </c>
      <c r="G258" s="30" t="n">
        <v>0.000779</v>
      </c>
      <c r="H258" s="14" t="n">
        <v>0.8694</v>
      </c>
      <c r="I258" t="n">
        <v>0.404553</v>
      </c>
      <c r="J258" t="n">
        <v>0.0348</v>
      </c>
      <c r="K258" t="n">
        <v>0.022258</v>
      </c>
      <c r="L258" t="n">
        <v>1.1054</v>
      </c>
      <c r="M258" t="n">
        <v>0.6562</v>
      </c>
      <c r="N258" t="n">
        <v>0.7254</v>
      </c>
      <c r="O258" t="inlineStr">
        <is>
          <t>FIX</t>
        </is>
      </c>
    </row>
    <row r="259">
      <c r="A259" t="n">
        <v>29534051</v>
      </c>
      <c r="B259" t="n">
        <v>258</v>
      </c>
      <c r="C259" t="n">
        <v>17175</v>
      </c>
      <c r="D259" t="n">
        <v>6011</v>
      </c>
      <c r="E259" t="n">
        <v>365</v>
      </c>
      <c r="F259" t="n">
        <v>3.7395</v>
      </c>
      <c r="G259" s="30" t="n">
        <v>0.0007739999999999999</v>
      </c>
      <c r="H259" s="14" t="n">
        <v>0.8702</v>
      </c>
      <c r="I259" t="n">
        <v>0.349985</v>
      </c>
      <c r="J259" t="n">
        <v>0.0607</v>
      </c>
      <c r="K259" t="n">
        <v>0.010245</v>
      </c>
      <c r="L259" t="n">
        <v>0.8129</v>
      </c>
      <c r="M259" t="n">
        <v>0.99</v>
      </c>
      <c r="N259" t="n">
        <v>0.8048</v>
      </c>
      <c r="O259" t="inlineStr">
        <is>
          <t>PROTECT</t>
        </is>
      </c>
    </row>
    <row r="260">
      <c r="A260" t="n">
        <v>29614012</v>
      </c>
      <c r="B260" t="n">
        <v>259</v>
      </c>
      <c r="C260" t="n">
        <v>12873</v>
      </c>
      <c r="D260" t="n">
        <v>5291</v>
      </c>
      <c r="E260" t="n">
        <v>122</v>
      </c>
      <c r="F260" t="n">
        <v>3.7053</v>
      </c>
      <c r="G260" s="30" t="n">
        <v>0.000767</v>
      </c>
      <c r="H260" s="14" t="n">
        <v>0.8709</v>
      </c>
      <c r="I260" t="n">
        <v>0.411015</v>
      </c>
      <c r="J260" t="n">
        <v>0.0231</v>
      </c>
      <c r="K260" t="n">
        <v>0.030371</v>
      </c>
      <c r="L260" t="n">
        <v>0.8285</v>
      </c>
      <c r="M260" t="n">
        <v>0.9749</v>
      </c>
      <c r="N260" t="n">
        <v>0.8077</v>
      </c>
      <c r="O260" t="inlineStr">
        <is>
          <t>FIX</t>
        </is>
      </c>
    </row>
    <row r="261">
      <c r="A261" t="n">
        <v>6516505</v>
      </c>
      <c r="B261" t="n">
        <v>260</v>
      </c>
      <c r="C261" t="n">
        <v>16182</v>
      </c>
      <c r="D261" t="n">
        <v>6521</v>
      </c>
      <c r="E261" t="n">
        <v>360</v>
      </c>
      <c r="F261" t="n">
        <v>3.6437</v>
      </c>
      <c r="G261" s="30" t="n">
        <v>0.000754</v>
      </c>
      <c r="H261" s="14" t="n">
        <v>0.8717</v>
      </c>
      <c r="I261" t="n">
        <v>0.402979</v>
      </c>
      <c r="J261" t="n">
        <v>0.0552</v>
      </c>
      <c r="K261" t="n">
        <v>0.010121</v>
      </c>
      <c r="L261" t="n">
        <v>0.7389</v>
      </c>
      <c r="M261" t="n">
        <v>1.0109</v>
      </c>
      <c r="N261" t="n">
        <v>0.7469</v>
      </c>
      <c r="O261" t="inlineStr">
        <is>
          <t>PROTECT</t>
        </is>
      </c>
    </row>
    <row r="262">
      <c r="A262" t="n">
        <v>26998434</v>
      </c>
      <c r="B262" t="n">
        <v>261</v>
      </c>
      <c r="C262" t="n">
        <v>16229</v>
      </c>
      <c r="D262" t="n">
        <v>7365</v>
      </c>
      <c r="E262" t="n">
        <v>204</v>
      </c>
      <c r="F262" t="n">
        <v>3.6373</v>
      </c>
      <c r="G262" s="30" t="n">
        <v>0.000753</v>
      </c>
      <c r="H262" s="14" t="n">
        <v>0.8724</v>
      </c>
      <c r="I262" t="n">
        <v>0.453817</v>
      </c>
      <c r="J262" t="n">
        <v>0.0277</v>
      </c>
      <c r="K262" t="n">
        <v>0.01783</v>
      </c>
      <c r="L262" t="n">
        <v>1.5135</v>
      </c>
      <c r="M262" t="n">
        <v>0.6735</v>
      </c>
      <c r="N262" t="n">
        <v>1.0193</v>
      </c>
      <c r="O262" t="inlineStr">
        <is>
          <t>PROTECT</t>
        </is>
      </c>
    </row>
    <row r="263">
      <c r="A263" t="n">
        <v>29614013</v>
      </c>
      <c r="B263" t="n">
        <v>262</v>
      </c>
      <c r="C263" t="n">
        <v>14232</v>
      </c>
      <c r="D263" t="n">
        <v>5972</v>
      </c>
      <c r="E263" t="n">
        <v>151</v>
      </c>
      <c r="F263" t="n">
        <v>3.6302</v>
      </c>
      <c r="G263" s="30" t="n">
        <v>0.000752</v>
      </c>
      <c r="H263" s="14" t="n">
        <v>0.8732</v>
      </c>
      <c r="I263" t="n">
        <v>0.419618</v>
      </c>
      <c r="J263" t="n">
        <v>0.0253</v>
      </c>
      <c r="K263" t="n">
        <v>0.024041</v>
      </c>
      <c r="L263" t="n">
        <v>1.8053</v>
      </c>
      <c r="M263" t="n">
        <v>0.6279</v>
      </c>
      <c r="N263" t="n">
        <v>1.1335</v>
      </c>
      <c r="O263" t="inlineStr">
        <is>
          <t>FIX</t>
        </is>
      </c>
    </row>
    <row r="264">
      <c r="A264" t="n">
        <v>20097969</v>
      </c>
      <c r="B264" t="n">
        <v>263</v>
      </c>
      <c r="C264" t="n">
        <v>18568</v>
      </c>
      <c r="D264" t="n">
        <v>5995</v>
      </c>
      <c r="E264" t="n">
        <v>195</v>
      </c>
      <c r="F264" t="n">
        <v>3.6285</v>
      </c>
      <c r="G264" s="30" t="n">
        <v>0.000751</v>
      </c>
      <c r="H264" s="14" t="n">
        <v>0.8739</v>
      </c>
      <c r="I264" t="n">
        <v>0.322867</v>
      </c>
      <c r="J264" t="n">
        <v>0.0325</v>
      </c>
      <c r="K264" t="n">
        <v>0.018607</v>
      </c>
      <c r="L264" t="n">
        <v>1.0756</v>
      </c>
      <c r="M264" t="n">
        <v>0.4888</v>
      </c>
      <c r="N264" t="n">
        <v>0.5258</v>
      </c>
      <c r="O264" t="inlineStr">
        <is>
          <t>FIX</t>
        </is>
      </c>
    </row>
    <row r="265">
      <c r="A265" t="n">
        <v>23377306</v>
      </c>
      <c r="B265" t="n">
        <v>264</v>
      </c>
      <c r="C265" t="n">
        <v>15433</v>
      </c>
      <c r="D265" t="n">
        <v>4425</v>
      </c>
      <c r="E265" t="n">
        <v>179</v>
      </c>
      <c r="F265" t="n">
        <v>3.5971</v>
      </c>
      <c r="G265" s="30" t="n">
        <v>0.000745</v>
      </c>
      <c r="H265" s="14" t="n">
        <v>0.8747</v>
      </c>
      <c r="I265" t="n">
        <v>0.286723</v>
      </c>
      <c r="J265" t="n">
        <v>0.0405</v>
      </c>
      <c r="K265" t="n">
        <v>0.020096</v>
      </c>
      <c r="L265" t="n">
        <v>1.5472</v>
      </c>
      <c r="M265" t="n">
        <v>0.5525</v>
      </c>
      <c r="N265" t="n">
        <v>0.8549</v>
      </c>
      <c r="O265" t="inlineStr">
        <is>
          <t>FIX</t>
        </is>
      </c>
    </row>
    <row r="266">
      <c r="A266" t="n">
        <v>29513913</v>
      </c>
      <c r="B266" t="n">
        <v>265</v>
      </c>
      <c r="C266" t="n">
        <v>10852</v>
      </c>
      <c r="D266" t="n">
        <v>5200</v>
      </c>
      <c r="E266" t="n">
        <v>183</v>
      </c>
      <c r="F266" t="n">
        <v>3.582</v>
      </c>
      <c r="G266" s="30" t="n">
        <v>0.000742</v>
      </c>
      <c r="H266" s="14" t="n">
        <v>0.8754</v>
      </c>
      <c r="I266" t="n">
        <v>0.479174</v>
      </c>
      <c r="J266" t="n">
        <v>0.0352</v>
      </c>
      <c r="K266" t="n">
        <v>0.019574</v>
      </c>
      <c r="L266" t="n">
        <v>0.9241</v>
      </c>
      <c r="M266" t="n">
        <v>0.8552</v>
      </c>
      <c r="N266" t="n">
        <v>0.7903</v>
      </c>
      <c r="O266" t="inlineStr">
        <is>
          <t>FIX</t>
        </is>
      </c>
    </row>
    <row r="267">
      <c r="A267" t="n">
        <v>15959625</v>
      </c>
      <c r="B267" t="n">
        <v>266</v>
      </c>
      <c r="C267" t="n">
        <v>24759</v>
      </c>
      <c r="D267" t="n">
        <v>6735</v>
      </c>
      <c r="E267" t="n">
        <v>99</v>
      </c>
      <c r="F267" t="n">
        <v>3.5819</v>
      </c>
      <c r="G267" s="30" t="n">
        <v>0.000742</v>
      </c>
      <c r="H267" s="14" t="n">
        <v>0.8762</v>
      </c>
      <c r="I267" t="n">
        <v>0.272022</v>
      </c>
      <c r="J267" t="n">
        <v>0.0147</v>
      </c>
      <c r="K267" t="n">
        <v>0.036181</v>
      </c>
      <c r="L267" t="n">
        <v>0.6015</v>
      </c>
      <c r="M267" t="n">
        <v>0.792</v>
      </c>
      <c r="N267" t="n">
        <v>0.4764</v>
      </c>
      <c r="O267" t="inlineStr">
        <is>
          <t>FIX</t>
        </is>
      </c>
    </row>
    <row r="268">
      <c r="A268" t="n">
        <v>32398758</v>
      </c>
      <c r="B268" t="n">
        <v>267</v>
      </c>
      <c r="C268" t="n">
        <v>11209</v>
      </c>
      <c r="D268" t="n">
        <v>4298</v>
      </c>
      <c r="E268" t="n">
        <v>153</v>
      </c>
      <c r="F268" t="n">
        <v>3.5586</v>
      </c>
      <c r="G268" s="30" t="n">
        <v>0.000737</v>
      </c>
      <c r="H268" s="14" t="n">
        <v>0.8769</v>
      </c>
      <c r="I268" t="n">
        <v>0.383442</v>
      </c>
      <c r="J268" t="n">
        <v>0.0356</v>
      </c>
      <c r="K268" t="n">
        <v>0.023259</v>
      </c>
      <c r="L268" t="n">
        <v>0.8007</v>
      </c>
      <c r="M268" t="n">
        <v>0.6535</v>
      </c>
      <c r="N268" t="n">
        <v>0.5232</v>
      </c>
      <c r="O268" t="inlineStr">
        <is>
          <t>FIX</t>
        </is>
      </c>
    </row>
    <row r="269">
      <c r="A269" t="n">
        <v>28726401</v>
      </c>
      <c r="B269" t="n">
        <v>268</v>
      </c>
      <c r="C269" t="n">
        <v>6100</v>
      </c>
      <c r="D269" t="n">
        <v>1548</v>
      </c>
      <c r="E269" t="n">
        <v>114</v>
      </c>
      <c r="F269" t="n">
        <v>3.5452</v>
      </c>
      <c r="G269" s="30" t="n">
        <v>0.000734</v>
      </c>
      <c r="H269" s="14" t="n">
        <v>0.8776</v>
      </c>
      <c r="I269" t="n">
        <v>0.25377</v>
      </c>
      <c r="J269" t="n">
        <v>0.0736</v>
      </c>
      <c r="K269" t="n">
        <v>0.031098</v>
      </c>
      <c r="L269" t="n">
        <v>1.1395</v>
      </c>
      <c r="M269" t="n">
        <v>0.6938</v>
      </c>
      <c r="N269" t="n">
        <v>0.7905</v>
      </c>
      <c r="O269" t="inlineStr">
        <is>
          <t>FIX</t>
        </is>
      </c>
    </row>
    <row r="270">
      <c r="A270" t="n">
        <v>7144711</v>
      </c>
      <c r="B270" t="n">
        <v>269</v>
      </c>
      <c r="C270" t="n">
        <v>12846</v>
      </c>
      <c r="D270" t="n">
        <v>3516</v>
      </c>
      <c r="E270" t="n">
        <v>77</v>
      </c>
      <c r="F270" t="n">
        <v>3.5124</v>
      </c>
      <c r="G270" s="30" t="n">
        <v>0.000727</v>
      </c>
      <c r="H270" s="14" t="n">
        <v>0.8784</v>
      </c>
      <c r="I270" t="n">
        <v>0.273704</v>
      </c>
      <c r="J270" t="n">
        <v>0.0219</v>
      </c>
      <c r="K270" t="n">
        <v>0.045616</v>
      </c>
      <c r="L270" t="n">
        <v>1.0611</v>
      </c>
      <c r="M270" t="n">
        <v>0.819</v>
      </c>
      <c r="N270" t="n">
        <v>0.869</v>
      </c>
      <c r="O270" t="inlineStr">
        <is>
          <t>FIX</t>
        </is>
      </c>
    </row>
    <row r="271">
      <c r="A271" t="n">
        <v>14445192</v>
      </c>
      <c r="B271" t="n">
        <v>270</v>
      </c>
      <c r="C271" t="n">
        <v>34519</v>
      </c>
      <c r="D271" t="n">
        <v>8198</v>
      </c>
      <c r="E271" t="n">
        <v>296</v>
      </c>
      <c r="F271" t="n">
        <v>3.508</v>
      </c>
      <c r="G271" s="30" t="n">
        <v>0.000726</v>
      </c>
      <c r="H271" s="14" t="n">
        <v>0.8791</v>
      </c>
      <c r="I271" t="n">
        <v>0.237492</v>
      </c>
      <c r="J271" t="n">
        <v>0.0361</v>
      </c>
      <c r="K271" t="n">
        <v>0.011852</v>
      </c>
      <c r="L271" t="n">
        <v>0.9085</v>
      </c>
      <c r="M271" t="n">
        <v>0.83</v>
      </c>
      <c r="N271" t="n">
        <v>0.7541</v>
      </c>
      <c r="O271" t="inlineStr">
        <is>
          <t>PROTECT</t>
        </is>
      </c>
    </row>
    <row r="272">
      <c r="A272" t="n">
        <v>17710661</v>
      </c>
      <c r="B272" t="n">
        <v>271</v>
      </c>
      <c r="C272" t="n">
        <v>9839</v>
      </c>
      <c r="D272" t="n">
        <v>3407</v>
      </c>
      <c r="E272" t="n">
        <v>1195</v>
      </c>
      <c r="F272" t="n">
        <v>3.4991</v>
      </c>
      <c r="G272" s="30" t="n">
        <v>0.000725</v>
      </c>
      <c r="H272" s="14" t="n">
        <v>0.8798</v>
      </c>
      <c r="I272" t="n">
        <v>0.346275</v>
      </c>
      <c r="J272" t="n">
        <v>0.3507</v>
      </c>
      <c r="K272" t="n">
        <v>0.002928</v>
      </c>
      <c r="L272" t="n">
        <v>0.7752</v>
      </c>
      <c r="M272" t="n">
        <v>0.7938</v>
      </c>
      <c r="N272" t="n">
        <v>0.6153</v>
      </c>
      <c r="O272" t="inlineStr">
        <is>
          <t>PROTECT</t>
        </is>
      </c>
    </row>
    <row r="273">
      <c r="A273" t="n">
        <v>24045154</v>
      </c>
      <c r="B273" t="n">
        <v>272</v>
      </c>
      <c r="C273" t="n">
        <v>10092</v>
      </c>
      <c r="D273" t="n">
        <v>3283</v>
      </c>
      <c r="E273" t="n">
        <v>427</v>
      </c>
      <c r="F273" t="n">
        <v>3.4832</v>
      </c>
      <c r="G273" s="30" t="n">
        <v>0.000721</v>
      </c>
      <c r="H273" s="14" t="n">
        <v>0.8804999999999999</v>
      </c>
      <c r="I273" t="n">
        <v>0.325307</v>
      </c>
      <c r="J273" t="n">
        <v>0.1301</v>
      </c>
      <c r="K273" t="n">
        <v>0.008156999999999999</v>
      </c>
      <c r="L273" t="n">
        <v>3.4304</v>
      </c>
      <c r="M273" t="n">
        <v>0.2985</v>
      </c>
      <c r="N273" t="n">
        <v>1.0241</v>
      </c>
      <c r="O273" t="inlineStr">
        <is>
          <t>PROTECT</t>
        </is>
      </c>
    </row>
    <row r="274">
      <c r="A274" t="n">
        <v>2869134</v>
      </c>
      <c r="B274" t="n">
        <v>273</v>
      </c>
      <c r="C274" t="n">
        <v>55796</v>
      </c>
      <c r="D274" t="n">
        <v>20032</v>
      </c>
      <c r="E274" t="n">
        <v>9499</v>
      </c>
      <c r="F274" t="n">
        <v>3.4419</v>
      </c>
      <c r="G274" s="30" t="n">
        <v>0.000713</v>
      </c>
      <c r="H274" s="14" t="n">
        <v>0.8812</v>
      </c>
      <c r="I274" t="n">
        <v>0.359022</v>
      </c>
      <c r="J274" t="n">
        <v>0.4742</v>
      </c>
      <c r="K274" t="n">
        <v>0.000362</v>
      </c>
      <c r="L274" t="n">
        <v>0.498</v>
      </c>
      <c r="M274" t="n">
        <v>0.9467</v>
      </c>
      <c r="N274" t="n">
        <v>0.4715</v>
      </c>
      <c r="O274" t="inlineStr">
        <is>
          <t>PROTECT</t>
        </is>
      </c>
    </row>
    <row r="275">
      <c r="A275" t="n">
        <v>28752986</v>
      </c>
      <c r="B275" t="n">
        <v>274</v>
      </c>
      <c r="C275" t="n">
        <v>11586</v>
      </c>
      <c r="D275" t="n">
        <v>3644</v>
      </c>
      <c r="E275" t="n">
        <v>1395</v>
      </c>
      <c r="F275" t="n">
        <v>3.4202</v>
      </c>
      <c r="G275" s="30" t="n">
        <v>0.000708</v>
      </c>
      <c r="H275" s="14" t="n">
        <v>0.882</v>
      </c>
      <c r="I275" t="n">
        <v>0.314518</v>
      </c>
      <c r="J275" t="n">
        <v>0.3828</v>
      </c>
      <c r="K275" t="n">
        <v>0.002452</v>
      </c>
      <c r="L275" t="n">
        <v>0.9207</v>
      </c>
      <c r="M275" t="n">
        <v>0.8157</v>
      </c>
      <c r="N275" t="n">
        <v>0.751</v>
      </c>
      <c r="O275" t="inlineStr">
        <is>
          <t>PROTECT</t>
        </is>
      </c>
    </row>
    <row r="276">
      <c r="A276" t="n">
        <v>3291799</v>
      </c>
      <c r="B276" t="n">
        <v>275</v>
      </c>
      <c r="C276" t="n">
        <v>8320</v>
      </c>
      <c r="D276" t="n">
        <v>2889</v>
      </c>
      <c r="E276" t="n">
        <v>183</v>
      </c>
      <c r="F276" t="n">
        <v>3.3979</v>
      </c>
      <c r="G276" s="30" t="n">
        <v>0.000704</v>
      </c>
      <c r="H276" s="14" t="n">
        <v>0.8827</v>
      </c>
      <c r="I276" t="n">
        <v>0.347236</v>
      </c>
      <c r="J276" t="n">
        <v>0.0633</v>
      </c>
      <c r="K276" t="n">
        <v>0.018568</v>
      </c>
      <c r="L276" t="n">
        <v>1.8734</v>
      </c>
      <c r="M276" t="n">
        <v>0.5522</v>
      </c>
      <c r="N276" t="n">
        <v>1.0346</v>
      </c>
      <c r="O276" t="inlineStr">
        <is>
          <t>FIX</t>
        </is>
      </c>
    </row>
    <row r="277">
      <c r="A277" t="n">
        <v>18498853</v>
      </c>
      <c r="B277" t="n">
        <v>276</v>
      </c>
      <c r="C277" t="n">
        <v>45093</v>
      </c>
      <c r="D277" t="n">
        <v>7341</v>
      </c>
      <c r="E277" t="n">
        <v>146</v>
      </c>
      <c r="F277" t="n">
        <v>3.3891</v>
      </c>
      <c r="G277" s="30" t="n">
        <v>0.000702</v>
      </c>
      <c r="H277" s="14" t="n">
        <v>0.8834</v>
      </c>
      <c r="I277" t="n">
        <v>0.162797</v>
      </c>
      <c r="J277" t="n">
        <v>0.0199</v>
      </c>
      <c r="K277" t="n">
        <v>0.023213</v>
      </c>
      <c r="L277" t="n">
        <v>2.5795</v>
      </c>
      <c r="M277" t="n">
        <v>0.4271</v>
      </c>
      <c r="N277" t="n">
        <v>1.1017</v>
      </c>
      <c r="O277" t="inlineStr">
        <is>
          <t>FIX</t>
        </is>
      </c>
    </row>
    <row r="278">
      <c r="A278" t="n">
        <v>2342814</v>
      </c>
      <c r="B278" t="n">
        <v>277</v>
      </c>
      <c r="C278" t="n">
        <v>6386</v>
      </c>
      <c r="D278" t="n">
        <v>2371</v>
      </c>
      <c r="E278" t="n">
        <v>194</v>
      </c>
      <c r="F278" t="n">
        <v>3.3548</v>
      </c>
      <c r="G278" s="30" t="n">
        <v>0.000695</v>
      </c>
      <c r="H278" s="14" t="n">
        <v>0.8841</v>
      </c>
      <c r="I278" t="n">
        <v>0.371281</v>
      </c>
      <c r="J278" t="n">
        <v>0.0818</v>
      </c>
      <c r="K278" t="n">
        <v>0.017293</v>
      </c>
      <c r="L278" t="n">
        <v>0.3758</v>
      </c>
      <c r="M278" t="n">
        <v>1.1939</v>
      </c>
      <c r="N278" t="n">
        <v>0.4487</v>
      </c>
      <c r="O278" t="inlineStr">
        <is>
          <t>PROTECT</t>
        </is>
      </c>
    </row>
    <row r="279">
      <c r="A279" t="n">
        <v>22431924</v>
      </c>
      <c r="B279" t="n">
        <v>278</v>
      </c>
      <c r="C279" t="n">
        <v>16858</v>
      </c>
      <c r="D279" t="n">
        <v>4437</v>
      </c>
      <c r="E279" t="n">
        <v>236</v>
      </c>
      <c r="F279" t="n">
        <v>3.3541</v>
      </c>
      <c r="G279" s="30" t="n">
        <v>0.000695</v>
      </c>
      <c r="H279" s="14" t="n">
        <v>0.8847</v>
      </c>
      <c r="I279" t="n">
        <v>0.263198</v>
      </c>
      <c r="J279" t="n">
        <v>0.0532</v>
      </c>
      <c r="K279" t="n">
        <v>0.014212</v>
      </c>
      <c r="L279" t="n">
        <v>0.9523</v>
      </c>
      <c r="M279" t="n">
        <v>0.8243</v>
      </c>
      <c r="N279" t="n">
        <v>0.785</v>
      </c>
      <c r="O279" t="inlineStr">
        <is>
          <t>PROTECT</t>
        </is>
      </c>
    </row>
    <row r="280">
      <c r="A280" t="n">
        <v>2716294</v>
      </c>
      <c r="B280" t="n">
        <v>279</v>
      </c>
      <c r="C280" t="n">
        <v>11203</v>
      </c>
      <c r="D280" t="n">
        <v>4598</v>
      </c>
      <c r="E280" t="n">
        <v>82</v>
      </c>
      <c r="F280" t="n">
        <v>3.338</v>
      </c>
      <c r="G280" s="30" t="n">
        <v>0.000691</v>
      </c>
      <c r="H280" s="14" t="n">
        <v>0.8854</v>
      </c>
      <c r="I280" t="n">
        <v>0.410426</v>
      </c>
      <c r="J280" t="n">
        <v>0.0178</v>
      </c>
      <c r="K280" t="n">
        <v>0.040707</v>
      </c>
      <c r="L280" t="n">
        <v>3.941</v>
      </c>
      <c r="M280" t="n">
        <v>0.2309</v>
      </c>
      <c r="N280" t="n">
        <v>0.9101</v>
      </c>
      <c r="O280" t="inlineStr">
        <is>
          <t>FIX</t>
        </is>
      </c>
    </row>
    <row r="281">
      <c r="A281" t="n">
        <v>1313883</v>
      </c>
      <c r="B281" t="n">
        <v>280</v>
      </c>
      <c r="C281" t="n">
        <v>5873</v>
      </c>
      <c r="D281" t="n">
        <v>1718</v>
      </c>
      <c r="E281" t="n">
        <v>34</v>
      </c>
      <c r="F281" t="n">
        <v>3.3306</v>
      </c>
      <c r="G281" s="30" t="n">
        <v>0.00069</v>
      </c>
      <c r="H281" s="14" t="n">
        <v>0.8861</v>
      </c>
      <c r="I281" t="n">
        <v>0.292525</v>
      </c>
      <c r="J281" t="n">
        <v>0.0198</v>
      </c>
      <c r="K281" t="n">
        <v>0.09796000000000001</v>
      </c>
      <c r="L281" t="n">
        <v>2.0724</v>
      </c>
      <c r="M281" t="n">
        <v>0.398</v>
      </c>
      <c r="N281" t="n">
        <v>0.8249</v>
      </c>
      <c r="O281" t="inlineStr">
        <is>
          <t>FIX</t>
        </is>
      </c>
    </row>
    <row r="282">
      <c r="A282" t="n">
        <v>13576413</v>
      </c>
      <c r="B282" t="n">
        <v>281</v>
      </c>
      <c r="C282" t="n">
        <v>6360</v>
      </c>
      <c r="D282" t="n">
        <v>2621</v>
      </c>
      <c r="E282" t="n">
        <v>27</v>
      </c>
      <c r="F282" t="n">
        <v>3.3264</v>
      </c>
      <c r="G282" s="30" t="n">
        <v>0.0006890000000000001</v>
      </c>
      <c r="H282" s="14" t="n">
        <v>0.8868</v>
      </c>
      <c r="I282" t="n">
        <v>0.412107</v>
      </c>
      <c r="J282" t="n">
        <v>0.0103</v>
      </c>
      <c r="K282" t="n">
        <v>0.123199</v>
      </c>
      <c r="L282" t="n">
        <v>1.2928</v>
      </c>
      <c r="M282" t="n">
        <v>0.5605</v>
      </c>
      <c r="N282" t="n">
        <v>0.7246</v>
      </c>
      <c r="O282" t="inlineStr">
        <is>
          <t>FIX</t>
        </is>
      </c>
    </row>
    <row r="283">
      <c r="A283" t="n">
        <v>4293600</v>
      </c>
      <c r="B283" t="n">
        <v>282</v>
      </c>
      <c r="C283" t="n">
        <v>29383</v>
      </c>
      <c r="D283" t="n">
        <v>7773</v>
      </c>
      <c r="E283" t="n">
        <v>199</v>
      </c>
      <c r="F283" t="n">
        <v>3.2924</v>
      </c>
      <c r="G283" s="30" t="n">
        <v>0.000682</v>
      </c>
      <c r="H283" s="14" t="n">
        <v>0.8875</v>
      </c>
      <c r="I283" t="n">
        <v>0.264541</v>
      </c>
      <c r="J283" t="n">
        <v>0.0256</v>
      </c>
      <c r="K283" t="n">
        <v>0.016545</v>
      </c>
      <c r="L283" t="n">
        <v>0.1594</v>
      </c>
      <c r="M283" t="n">
        <v>0.9866</v>
      </c>
      <c r="N283" t="n">
        <v>0.1573</v>
      </c>
      <c r="O283" t="inlineStr">
        <is>
          <t>PROTECT</t>
        </is>
      </c>
    </row>
    <row r="284">
      <c r="A284" t="n">
        <v>30676250</v>
      </c>
      <c r="B284" t="n">
        <v>283</v>
      </c>
      <c r="C284" t="n">
        <v>35243</v>
      </c>
      <c r="D284" t="n">
        <v>9926</v>
      </c>
      <c r="E284" t="n">
        <v>149</v>
      </c>
      <c r="F284" t="n">
        <v>3.2724</v>
      </c>
      <c r="G284" s="30" t="n">
        <v>0.000678</v>
      </c>
      <c r="H284" s="14" t="n">
        <v>0.8882</v>
      </c>
      <c r="I284" t="n">
        <v>0.281645</v>
      </c>
      <c r="J284" t="n">
        <v>0.015</v>
      </c>
      <c r="K284" t="n">
        <v>0.021962</v>
      </c>
      <c r="L284" t="n">
        <v>1.7514</v>
      </c>
      <c r="M284" t="n">
        <v>0.516</v>
      </c>
      <c r="N284" t="n">
        <v>0.9038</v>
      </c>
      <c r="O284" t="inlineStr">
        <is>
          <t>FIX</t>
        </is>
      </c>
    </row>
    <row r="285">
      <c r="A285" t="n">
        <v>5700346</v>
      </c>
      <c r="B285" t="n">
        <v>284</v>
      </c>
      <c r="C285" t="n">
        <v>13267</v>
      </c>
      <c r="D285" t="n">
        <v>4312</v>
      </c>
      <c r="E285" t="n">
        <v>68</v>
      </c>
      <c r="F285" t="n">
        <v>3.2608</v>
      </c>
      <c r="G285" s="30" t="n">
        <v>0.000675</v>
      </c>
      <c r="H285" s="14" t="n">
        <v>0.8889</v>
      </c>
      <c r="I285" t="n">
        <v>0.325017</v>
      </c>
      <c r="J285" t="n">
        <v>0.0158</v>
      </c>
      <c r="K285" t="n">
        <v>0.047953</v>
      </c>
      <c r="L285" t="n">
        <v>0.3334</v>
      </c>
      <c r="M285" t="n">
        <v>1.0801</v>
      </c>
      <c r="N285" t="n">
        <v>0.3601</v>
      </c>
      <c r="O285" t="inlineStr">
        <is>
          <t>FIX</t>
        </is>
      </c>
    </row>
    <row r="286">
      <c r="A286" t="n">
        <v>2865315</v>
      </c>
      <c r="B286" t="n">
        <v>285</v>
      </c>
      <c r="C286" t="n">
        <v>20016</v>
      </c>
      <c r="D286" t="n">
        <v>10702</v>
      </c>
      <c r="E286" t="n">
        <v>188</v>
      </c>
      <c r="F286" t="n">
        <v>3.2245</v>
      </c>
      <c r="G286" s="30" t="n">
        <v>0.000668</v>
      </c>
      <c r="H286" s="14" t="n">
        <v>0.8895</v>
      </c>
      <c r="I286" t="n">
        <v>0.534672</v>
      </c>
      <c r="J286" t="n">
        <v>0.0176</v>
      </c>
      <c r="K286" t="n">
        <v>0.017152</v>
      </c>
      <c r="L286" t="n">
        <v>0.7549</v>
      </c>
      <c r="M286" t="n">
        <v>0.8988</v>
      </c>
      <c r="N286" t="n">
        <v>0.6785</v>
      </c>
      <c r="O286" t="inlineStr">
        <is>
          <t>PROTECT</t>
        </is>
      </c>
    </row>
    <row r="287">
      <c r="A287" t="n">
        <v>10462151</v>
      </c>
      <c r="B287" t="n">
        <v>286</v>
      </c>
      <c r="C287" t="n">
        <v>8126</v>
      </c>
      <c r="D287" t="n">
        <v>3016</v>
      </c>
      <c r="E287" t="n">
        <v>38</v>
      </c>
      <c r="F287" t="n">
        <v>3.2227</v>
      </c>
      <c r="G287" s="30" t="n">
        <v>0.0006669999999999999</v>
      </c>
      <c r="H287" s="14" t="n">
        <v>0.8902</v>
      </c>
      <c r="I287" t="n">
        <v>0.371154</v>
      </c>
      <c r="J287" t="n">
        <v>0.0126</v>
      </c>
      <c r="K287" t="n">
        <v>0.084809</v>
      </c>
      <c r="L287" t="n">
        <v>1.4839</v>
      </c>
      <c r="M287" t="n">
        <v>0.6934</v>
      </c>
      <c r="N287" t="n">
        <v>1.029</v>
      </c>
      <c r="O287" t="inlineStr">
        <is>
          <t>FIX</t>
        </is>
      </c>
    </row>
    <row r="288">
      <c r="A288" t="n">
        <v>23644447</v>
      </c>
      <c r="B288" t="n">
        <v>287</v>
      </c>
      <c r="C288" t="n">
        <v>11664</v>
      </c>
      <c r="D288" t="n">
        <v>4875</v>
      </c>
      <c r="E288" t="n">
        <v>1724</v>
      </c>
      <c r="F288" t="n">
        <v>3.2221</v>
      </c>
      <c r="G288" s="30" t="n">
        <v>0.0006669999999999999</v>
      </c>
      <c r="H288" s="14" t="n">
        <v>0.8909</v>
      </c>
      <c r="I288" t="n">
        <v>0.417953</v>
      </c>
      <c r="J288" t="n">
        <v>0.3536</v>
      </c>
      <c r="K288" t="n">
        <v>0.001869</v>
      </c>
      <c r="L288" t="n">
        <v>0.4902</v>
      </c>
      <c r="M288" t="n">
        <v>1.1337</v>
      </c>
      <c r="N288" t="n">
        <v>0.5558</v>
      </c>
      <c r="O288" t="inlineStr">
        <is>
          <t>PROTECT</t>
        </is>
      </c>
    </row>
    <row r="289">
      <c r="A289" t="n">
        <v>27009860</v>
      </c>
      <c r="B289" t="n">
        <v>288</v>
      </c>
      <c r="C289" t="n">
        <v>6755</v>
      </c>
      <c r="D289" t="n">
        <v>2673</v>
      </c>
      <c r="E289" t="n">
        <v>44</v>
      </c>
      <c r="F289" t="n">
        <v>3.2092</v>
      </c>
      <c r="G289" s="30" t="n">
        <v>0.000665</v>
      </c>
      <c r="H289" s="14" t="n">
        <v>0.8915</v>
      </c>
      <c r="I289" t="n">
        <v>0.395707</v>
      </c>
      <c r="J289" t="n">
        <v>0.0165</v>
      </c>
      <c r="K289" t="n">
        <v>0.072937</v>
      </c>
      <c r="L289" t="n">
        <v>1.0803</v>
      </c>
      <c r="M289" t="n">
        <v>0.5646</v>
      </c>
      <c r="N289" t="n">
        <v>0.61</v>
      </c>
      <c r="O289" t="inlineStr">
        <is>
          <t>FIX</t>
        </is>
      </c>
    </row>
    <row r="290">
      <c r="A290" t="n">
        <v>27684173</v>
      </c>
      <c r="B290" t="n">
        <v>289</v>
      </c>
      <c r="C290" t="n">
        <v>13767</v>
      </c>
      <c r="D290" t="n">
        <v>4456</v>
      </c>
      <c r="E290" t="n">
        <v>404</v>
      </c>
      <c r="F290" t="n">
        <v>3.2092</v>
      </c>
      <c r="G290" s="30" t="n">
        <v>0.000665</v>
      </c>
      <c r="H290" s="14" t="n">
        <v>0.8922</v>
      </c>
      <c r="I290" t="n">
        <v>0.323673</v>
      </c>
      <c r="J290" t="n">
        <v>0.0907</v>
      </c>
      <c r="K290" t="n">
        <v>0.007943</v>
      </c>
      <c r="L290" t="n">
        <v>0.7988</v>
      </c>
      <c r="M290" t="n">
        <v>0.7554999999999999</v>
      </c>
      <c r="N290" t="n">
        <v>0.6035</v>
      </c>
      <c r="O290" t="inlineStr">
        <is>
          <t>PROTECT</t>
        </is>
      </c>
    </row>
    <row r="291">
      <c r="A291" t="n">
        <v>17661709</v>
      </c>
      <c r="B291" t="n">
        <v>290</v>
      </c>
      <c r="C291" t="n">
        <v>6185</v>
      </c>
      <c r="D291" t="n">
        <v>1719</v>
      </c>
      <c r="E291" t="n">
        <v>24</v>
      </c>
      <c r="F291" t="n">
        <v>3.2062</v>
      </c>
      <c r="G291" s="30" t="n">
        <v>0.000664</v>
      </c>
      <c r="H291" s="14" t="n">
        <v>0.8928</v>
      </c>
      <c r="I291" t="n">
        <v>0.27793</v>
      </c>
      <c r="J291" t="n">
        <v>0.014</v>
      </c>
      <c r="K291" t="n">
        <v>0.133593</v>
      </c>
      <c r="L291" t="n">
        <v>1.9484</v>
      </c>
      <c r="M291" t="n">
        <v>0.5495</v>
      </c>
      <c r="N291" t="n">
        <v>1.0706</v>
      </c>
      <c r="O291" t="inlineStr">
        <is>
          <t>FIX</t>
        </is>
      </c>
    </row>
    <row r="292">
      <c r="A292" t="n">
        <v>9013587</v>
      </c>
      <c r="B292" t="n">
        <v>291</v>
      </c>
      <c r="C292" t="n">
        <v>16055</v>
      </c>
      <c r="D292" t="n">
        <v>5394</v>
      </c>
      <c r="E292" t="n">
        <v>26</v>
      </c>
      <c r="F292" t="n">
        <v>3.1336</v>
      </c>
      <c r="G292" s="30" t="n">
        <v>0.0006489999999999999</v>
      </c>
      <c r="H292" s="14" t="n">
        <v>0.8935</v>
      </c>
      <c r="I292" t="n">
        <v>0.33597</v>
      </c>
      <c r="J292" t="n">
        <v>0.0048</v>
      </c>
      <c r="K292" t="n">
        <v>0.120523</v>
      </c>
      <c r="L292" t="n">
        <v>2.5301</v>
      </c>
      <c r="M292" t="n">
        <v>0.3529</v>
      </c>
      <c r="N292" t="n">
        <v>0.893</v>
      </c>
      <c r="O292" t="inlineStr">
        <is>
          <t>FIX</t>
        </is>
      </c>
    </row>
    <row r="293">
      <c r="A293" t="n">
        <v>29513916</v>
      </c>
      <c r="B293" t="n">
        <v>292</v>
      </c>
      <c r="C293" t="n">
        <v>9508</v>
      </c>
      <c r="D293" t="n">
        <v>4348</v>
      </c>
      <c r="E293" t="n">
        <v>70</v>
      </c>
      <c r="F293" t="n">
        <v>3.1272</v>
      </c>
      <c r="G293" s="30" t="n">
        <v>0.000648</v>
      </c>
      <c r="H293" s="14" t="n">
        <v>0.8941</v>
      </c>
      <c r="I293" t="n">
        <v>0.457299</v>
      </c>
      <c r="J293" t="n">
        <v>0.0161</v>
      </c>
      <c r="K293" t="n">
        <v>0.044674</v>
      </c>
      <c r="L293" t="n">
        <v>0.7413</v>
      </c>
      <c r="M293" t="n">
        <v>0.8149</v>
      </c>
      <c r="N293" t="n">
        <v>0.6041</v>
      </c>
      <c r="O293" t="inlineStr">
        <is>
          <t>FIX</t>
        </is>
      </c>
    </row>
    <row r="294">
      <c r="A294" t="n">
        <v>5442463</v>
      </c>
      <c r="B294" t="n">
        <v>293</v>
      </c>
      <c r="C294" t="n">
        <v>14336</v>
      </c>
      <c r="D294" t="n">
        <v>3722</v>
      </c>
      <c r="E294" t="n">
        <v>1138</v>
      </c>
      <c r="F294" t="n">
        <v>3.0642</v>
      </c>
      <c r="G294" s="30" t="n">
        <v>0.000634</v>
      </c>
      <c r="H294" s="14" t="n">
        <v>0.8948</v>
      </c>
      <c r="I294" t="n">
        <v>0.259626</v>
      </c>
      <c r="J294" t="n">
        <v>0.3057</v>
      </c>
      <c r="K294" t="n">
        <v>0.002693</v>
      </c>
      <c r="L294" t="n">
        <v>1.0663</v>
      </c>
      <c r="M294" t="n">
        <v>0.7221</v>
      </c>
      <c r="N294" t="n">
        <v>0.77</v>
      </c>
      <c r="O294" t="inlineStr">
        <is>
          <t>PROTECT</t>
        </is>
      </c>
    </row>
    <row r="295">
      <c r="A295" t="n">
        <v>1869939</v>
      </c>
      <c r="B295" t="n">
        <v>294</v>
      </c>
      <c r="C295" t="n">
        <v>5723</v>
      </c>
      <c r="D295" t="n">
        <v>3366</v>
      </c>
      <c r="E295" t="n">
        <v>286</v>
      </c>
      <c r="F295" t="n">
        <v>3.0638</v>
      </c>
      <c r="G295" s="30" t="n">
        <v>0.000634</v>
      </c>
      <c r="H295" s="14" t="n">
        <v>0.8954</v>
      </c>
      <c r="I295" t="n">
        <v>0.588153</v>
      </c>
      <c r="J295" t="n">
        <v>0.08500000000000001</v>
      </c>
      <c r="K295" t="n">
        <v>0.010712</v>
      </c>
      <c r="L295" t="n">
        <v>0.8746</v>
      </c>
      <c r="M295" t="n">
        <v>0.6569</v>
      </c>
      <c r="N295" t="n">
        <v>0.5746</v>
      </c>
      <c r="O295" t="inlineStr">
        <is>
          <t>PROTECT</t>
        </is>
      </c>
    </row>
    <row r="296">
      <c r="A296" t="n">
        <v>24843279</v>
      </c>
      <c r="B296" t="n">
        <v>295</v>
      </c>
      <c r="C296" t="n">
        <v>10357</v>
      </c>
      <c r="D296" t="n">
        <v>4597</v>
      </c>
      <c r="E296" t="n">
        <v>443</v>
      </c>
      <c r="F296" t="n">
        <v>3.0349</v>
      </c>
      <c r="G296" s="30" t="n">
        <v>0.000628</v>
      </c>
      <c r="H296" s="14" t="n">
        <v>0.896</v>
      </c>
      <c r="I296" t="n">
        <v>0.443854</v>
      </c>
      <c r="J296" t="n">
        <v>0.0964</v>
      </c>
      <c r="K296" t="n">
        <v>0.006851</v>
      </c>
      <c r="L296" t="n">
        <v>1.4711</v>
      </c>
      <c r="M296" t="n">
        <v>0.5766</v>
      </c>
      <c r="N296" t="n">
        <v>0.8483000000000001</v>
      </c>
      <c r="O296" t="inlineStr">
        <is>
          <t>PROTECT</t>
        </is>
      </c>
    </row>
    <row r="297">
      <c r="A297" t="n">
        <v>29874685</v>
      </c>
      <c r="B297" t="n">
        <v>296</v>
      </c>
      <c r="C297" t="n">
        <v>12173</v>
      </c>
      <c r="D297" t="n">
        <v>5156</v>
      </c>
      <c r="E297" t="n">
        <v>21</v>
      </c>
      <c r="F297" t="n">
        <v>3.0175</v>
      </c>
      <c r="G297" s="30" t="n">
        <v>0.000625</v>
      </c>
      <c r="H297" s="14" t="n">
        <v>0.8967000000000001</v>
      </c>
      <c r="I297" t="n">
        <v>0.42356</v>
      </c>
      <c r="J297" t="n">
        <v>0.0041</v>
      </c>
      <c r="K297" t="n">
        <v>0.14369</v>
      </c>
      <c r="L297" t="n">
        <v>1.9013</v>
      </c>
      <c r="M297" t="n">
        <v>0.47</v>
      </c>
      <c r="N297" t="n">
        <v>0.8935999999999999</v>
      </c>
      <c r="O297" t="inlineStr">
        <is>
          <t>FIX</t>
        </is>
      </c>
    </row>
    <row r="298">
      <c r="A298" t="n">
        <v>9106407</v>
      </c>
      <c r="B298" t="n">
        <v>297</v>
      </c>
      <c r="C298" t="n">
        <v>20877</v>
      </c>
      <c r="D298" t="n">
        <v>5468</v>
      </c>
      <c r="E298" t="n">
        <v>1562</v>
      </c>
      <c r="F298" t="n">
        <v>3.012</v>
      </c>
      <c r="G298" s="30" t="n">
        <v>0.000624</v>
      </c>
      <c r="H298" s="14" t="n">
        <v>0.8973</v>
      </c>
      <c r="I298" t="n">
        <v>0.261915</v>
      </c>
      <c r="J298" t="n">
        <v>0.2857</v>
      </c>
      <c r="K298" t="n">
        <v>0.001928</v>
      </c>
      <c r="L298" t="n">
        <v>0.7122000000000001</v>
      </c>
      <c r="M298" t="n">
        <v>0.8944</v>
      </c>
      <c r="N298" t="n">
        <v>0.6369</v>
      </c>
      <c r="O298" t="inlineStr">
        <is>
          <t>PROTECT</t>
        </is>
      </c>
    </row>
    <row r="299">
      <c r="A299" t="n">
        <v>31491419</v>
      </c>
      <c r="B299" t="n">
        <v>298</v>
      </c>
      <c r="C299" t="n">
        <v>3747</v>
      </c>
      <c r="D299" t="n">
        <v>1385</v>
      </c>
      <c r="E299" t="n">
        <v>35</v>
      </c>
      <c r="F299" t="n">
        <v>3.0068</v>
      </c>
      <c r="G299" s="30" t="n">
        <v>0.000623</v>
      </c>
      <c r="H299" s="14" t="n">
        <v>0.8979</v>
      </c>
      <c r="I299" t="n">
        <v>0.369629</v>
      </c>
      <c r="J299" t="n">
        <v>0.0253</v>
      </c>
      <c r="K299" t="n">
        <v>0.08591</v>
      </c>
      <c r="L299" t="n">
        <v>0.3019</v>
      </c>
      <c r="M299" t="n">
        <v>1.3255</v>
      </c>
      <c r="N299" t="n">
        <v>0.4002</v>
      </c>
      <c r="O299" t="inlineStr">
        <is>
          <t>FIX</t>
        </is>
      </c>
    </row>
    <row r="300">
      <c r="A300" t="n">
        <v>8891880</v>
      </c>
      <c r="B300" t="n">
        <v>299</v>
      </c>
      <c r="C300" t="n">
        <v>6137</v>
      </c>
      <c r="D300" t="n">
        <v>2112</v>
      </c>
      <c r="E300" t="n">
        <v>50</v>
      </c>
      <c r="F300" t="n">
        <v>2.9928</v>
      </c>
      <c r="G300" s="30" t="n">
        <v>0.00062</v>
      </c>
      <c r="H300" s="14" t="n">
        <v>0.8985</v>
      </c>
      <c r="I300" t="n">
        <v>0.344142</v>
      </c>
      <c r="J300" t="n">
        <v>0.0237</v>
      </c>
      <c r="K300" t="n">
        <v>0.059856</v>
      </c>
      <c r="L300" t="n">
        <v>1.1658</v>
      </c>
      <c r="M300" t="n">
        <v>0.6005</v>
      </c>
      <c r="N300" t="n">
        <v>0.7</v>
      </c>
      <c r="O300" t="inlineStr">
        <is>
          <t>FIX</t>
        </is>
      </c>
    </row>
    <row r="301">
      <c r="A301" t="n">
        <v>27990027</v>
      </c>
      <c r="B301" t="n">
        <v>300</v>
      </c>
      <c r="C301" t="n">
        <v>13636</v>
      </c>
      <c r="D301" t="n">
        <v>5518</v>
      </c>
      <c r="E301" t="n">
        <v>85</v>
      </c>
      <c r="F301" t="n">
        <v>2.9727</v>
      </c>
      <c r="G301" s="30" t="n">
        <v>0.000616</v>
      </c>
      <c r="H301" s="14" t="n">
        <v>0.8991</v>
      </c>
      <c r="I301" t="n">
        <v>0.404664</v>
      </c>
      <c r="J301" t="n">
        <v>0.0154</v>
      </c>
      <c r="K301" t="n">
        <v>0.034973</v>
      </c>
      <c r="L301" t="n">
        <v>1.1792</v>
      </c>
      <c r="M301" t="n">
        <v>0.6624</v>
      </c>
      <c r="N301" t="n">
        <v>0.7812</v>
      </c>
      <c r="O301" t="inlineStr">
        <is>
          <t>FIX</t>
        </is>
      </c>
    </row>
    <row r="302">
      <c r="A302" t="n">
        <v>2865318</v>
      </c>
      <c r="B302" t="n">
        <v>301</v>
      </c>
      <c r="C302" t="n">
        <v>3989</v>
      </c>
      <c r="D302" t="n">
        <v>1310</v>
      </c>
      <c r="E302" t="n">
        <v>157</v>
      </c>
      <c r="F302" t="n">
        <v>2.9557</v>
      </c>
      <c r="G302" s="30" t="n">
        <v>0.000612</v>
      </c>
      <c r="H302" s="14" t="n">
        <v>0.8998</v>
      </c>
      <c r="I302" t="n">
        <v>0.328403</v>
      </c>
      <c r="J302" t="n">
        <v>0.1198</v>
      </c>
      <c r="K302" t="n">
        <v>0.018826</v>
      </c>
      <c r="L302" t="n">
        <v>1.5173</v>
      </c>
      <c r="M302" t="n">
        <v>0.4911</v>
      </c>
      <c r="N302" t="n">
        <v>0.7452</v>
      </c>
      <c r="O302" t="inlineStr">
        <is>
          <t>FIX</t>
        </is>
      </c>
    </row>
    <row r="303">
      <c r="A303" t="n">
        <v>27888153</v>
      </c>
      <c r="B303" t="n">
        <v>302</v>
      </c>
      <c r="C303" t="n">
        <v>15028</v>
      </c>
      <c r="D303" t="n">
        <v>5264</v>
      </c>
      <c r="E303" t="n">
        <v>49</v>
      </c>
      <c r="F303" t="n">
        <v>2.9295</v>
      </c>
      <c r="G303" s="30" t="n">
        <v>0.000607</v>
      </c>
      <c r="H303" s="14" t="n">
        <v>0.9004</v>
      </c>
      <c r="I303" t="n">
        <v>0.350279</v>
      </c>
      <c r="J303" t="n">
        <v>0.009299999999999999</v>
      </c>
      <c r="K303" t="n">
        <v>0.059786</v>
      </c>
      <c r="L303" t="n">
        <v>0.446</v>
      </c>
      <c r="M303" t="n">
        <v>0.9731</v>
      </c>
      <c r="N303" t="n">
        <v>0.434</v>
      </c>
      <c r="O303" t="inlineStr">
        <is>
          <t>FIX</t>
        </is>
      </c>
    </row>
    <row r="304">
      <c r="A304" t="n">
        <v>30676243</v>
      </c>
      <c r="B304" t="n">
        <v>303</v>
      </c>
      <c r="C304" t="n">
        <v>8380</v>
      </c>
      <c r="D304" t="n">
        <v>3068</v>
      </c>
      <c r="E304" t="n">
        <v>34</v>
      </c>
      <c r="F304" t="n">
        <v>2.9049</v>
      </c>
      <c r="G304" s="30" t="n">
        <v>0.000602</v>
      </c>
      <c r="H304" s="14" t="n">
        <v>0.901</v>
      </c>
      <c r="I304" t="n">
        <v>0.36611</v>
      </c>
      <c r="J304" t="n">
        <v>0.0111</v>
      </c>
      <c r="K304" t="n">
        <v>0.085438</v>
      </c>
      <c r="L304" t="n">
        <v>0.9587</v>
      </c>
      <c r="M304" t="n">
        <v>0.7133</v>
      </c>
      <c r="N304" t="n">
        <v>0.6838</v>
      </c>
      <c r="O304" t="inlineStr">
        <is>
          <t>FIX</t>
        </is>
      </c>
    </row>
    <row r="305">
      <c r="A305" t="n">
        <v>16491630</v>
      </c>
      <c r="B305" t="n">
        <v>304</v>
      </c>
      <c r="C305" t="n">
        <v>8078</v>
      </c>
      <c r="D305" t="n">
        <v>2971</v>
      </c>
      <c r="E305" t="n">
        <v>143</v>
      </c>
      <c r="F305" t="n">
        <v>2.8937</v>
      </c>
      <c r="G305" s="30" t="n">
        <v>0.000599</v>
      </c>
      <c r="H305" s="14" t="n">
        <v>0.9016</v>
      </c>
      <c r="I305" t="n">
        <v>0.367789</v>
      </c>
      <c r="J305" t="n">
        <v>0.0481</v>
      </c>
      <c r="K305" t="n">
        <v>0.020236</v>
      </c>
      <c r="L305" t="n">
        <v>0.7472</v>
      </c>
      <c r="M305" t="n">
        <v>0.9094</v>
      </c>
      <c r="N305" t="n">
        <v>0.6795</v>
      </c>
      <c r="O305" t="inlineStr">
        <is>
          <t>FIX</t>
        </is>
      </c>
    </row>
    <row r="306">
      <c r="A306" t="n">
        <v>8403843</v>
      </c>
      <c r="B306" t="n">
        <v>305</v>
      </c>
      <c r="C306" t="n">
        <v>5177</v>
      </c>
      <c r="D306" t="n">
        <v>1929</v>
      </c>
      <c r="E306" t="n">
        <v>118</v>
      </c>
      <c r="F306" t="n">
        <v>2.8784</v>
      </c>
      <c r="G306" s="30" t="n">
        <v>0.000596</v>
      </c>
      <c r="H306" s="14" t="n">
        <v>0.9022</v>
      </c>
      <c r="I306" t="n">
        <v>0.37261</v>
      </c>
      <c r="J306" t="n">
        <v>0.0612</v>
      </c>
      <c r="K306" t="n">
        <v>0.024393</v>
      </c>
      <c r="L306" t="n">
        <v>5.3844</v>
      </c>
      <c r="M306" t="n">
        <v>0.2198</v>
      </c>
      <c r="N306" t="n">
        <v>1.1836</v>
      </c>
      <c r="O306" t="inlineStr">
        <is>
          <t>FIX</t>
        </is>
      </c>
    </row>
    <row r="307">
      <c r="A307" t="n">
        <v>24321351</v>
      </c>
      <c r="B307" t="n">
        <v>306</v>
      </c>
      <c r="C307" t="n">
        <v>10650</v>
      </c>
      <c r="D307" t="n">
        <v>3536</v>
      </c>
      <c r="E307" t="n">
        <v>128</v>
      </c>
      <c r="F307" t="n">
        <v>2.863</v>
      </c>
      <c r="G307" s="30" t="n">
        <v>0.000593</v>
      </c>
      <c r="H307" s="14" t="n">
        <v>0.9028</v>
      </c>
      <c r="I307" t="n">
        <v>0.332019</v>
      </c>
      <c r="J307" t="n">
        <v>0.0362</v>
      </c>
      <c r="K307" t="n">
        <v>0.022367</v>
      </c>
      <c r="L307" t="n">
        <v>1.3332</v>
      </c>
      <c r="M307" t="n">
        <v>0.7304</v>
      </c>
      <c r="N307" t="n">
        <v>0.9738</v>
      </c>
      <c r="O307" t="inlineStr">
        <is>
          <t>FIX</t>
        </is>
      </c>
    </row>
    <row r="308">
      <c r="A308" t="n">
        <v>1632450</v>
      </c>
      <c r="B308" t="n">
        <v>307</v>
      </c>
      <c r="C308" t="n">
        <v>7555</v>
      </c>
      <c r="D308" t="n">
        <v>2836</v>
      </c>
      <c r="E308" t="n">
        <v>24</v>
      </c>
      <c r="F308" t="n">
        <v>2.8514</v>
      </c>
      <c r="G308" s="30" t="n">
        <v>0.00059</v>
      </c>
      <c r="H308" s="14" t="n">
        <v>0.9033</v>
      </c>
      <c r="I308" t="n">
        <v>0.375381</v>
      </c>
      <c r="J308" t="n">
        <v>0.008500000000000001</v>
      </c>
      <c r="K308" t="n">
        <v>0.118807</v>
      </c>
      <c r="L308" t="n">
        <v>1.9798</v>
      </c>
      <c r="M308" t="n">
        <v>0.4658</v>
      </c>
      <c r="N308" t="n">
        <v>0.9221</v>
      </c>
      <c r="O308" t="inlineStr">
        <is>
          <t>FIX</t>
        </is>
      </c>
    </row>
    <row r="309">
      <c r="A309" t="n">
        <v>15568932</v>
      </c>
      <c r="B309" t="n">
        <v>308</v>
      </c>
      <c r="C309" t="n">
        <v>22990</v>
      </c>
      <c r="D309" t="n">
        <v>8161</v>
      </c>
      <c r="E309" t="n">
        <v>398</v>
      </c>
      <c r="F309" t="n">
        <v>2.8443</v>
      </c>
      <c r="G309" s="30" t="n">
        <v>0.000589</v>
      </c>
      <c r="H309" s="14" t="n">
        <v>0.9039</v>
      </c>
      <c r="I309" t="n">
        <v>0.35498</v>
      </c>
      <c r="J309" t="n">
        <v>0.0488</v>
      </c>
      <c r="K309" t="n">
        <v>0.007147</v>
      </c>
      <c r="L309" t="n">
        <v>1.0118</v>
      </c>
      <c r="M309" t="n">
        <v>0.7427</v>
      </c>
      <c r="N309" t="n">
        <v>0.7514999999999999</v>
      </c>
      <c r="O309" t="inlineStr">
        <is>
          <t>PROTECT</t>
        </is>
      </c>
    </row>
    <row r="310">
      <c r="A310" t="n">
        <v>31129937</v>
      </c>
      <c r="B310" t="n">
        <v>309</v>
      </c>
      <c r="C310" t="n">
        <v>4642</v>
      </c>
      <c r="D310" t="n">
        <v>1596</v>
      </c>
      <c r="E310" t="n">
        <v>101</v>
      </c>
      <c r="F310" t="n">
        <v>2.8265</v>
      </c>
      <c r="G310" s="30" t="n">
        <v>0.000585</v>
      </c>
      <c r="H310" s="14" t="n">
        <v>0.9045</v>
      </c>
      <c r="I310" t="n">
        <v>0.343817</v>
      </c>
      <c r="J310" t="n">
        <v>0.0633</v>
      </c>
      <c r="K310" t="n">
        <v>0.027986</v>
      </c>
      <c r="L310" t="n">
        <v>1.1819</v>
      </c>
      <c r="M310" t="n">
        <v>0.5412</v>
      </c>
      <c r="N310" t="n">
        <v>0.6395999999999999</v>
      </c>
      <c r="O310" t="inlineStr">
        <is>
          <t>FIX</t>
        </is>
      </c>
    </row>
    <row r="311">
      <c r="A311" t="n">
        <v>17686795</v>
      </c>
      <c r="B311" t="n">
        <v>310</v>
      </c>
      <c r="C311" t="n">
        <v>9671</v>
      </c>
      <c r="D311" t="n">
        <v>3602</v>
      </c>
      <c r="E311" t="n">
        <v>108</v>
      </c>
      <c r="F311" t="n">
        <v>2.8128</v>
      </c>
      <c r="G311" s="30" t="n">
        <v>0.0005820000000000001</v>
      </c>
      <c r="H311" s="14" t="n">
        <v>0.9051</v>
      </c>
      <c r="I311" t="n">
        <v>0.372454</v>
      </c>
      <c r="J311" t="n">
        <v>0.03</v>
      </c>
      <c r="K311" t="n">
        <v>0.026044</v>
      </c>
      <c r="L311" t="n">
        <v>12.4161</v>
      </c>
      <c r="M311" t="n">
        <v>0.1082</v>
      </c>
      <c r="N311" t="n">
        <v>1.3435</v>
      </c>
      <c r="O311" t="inlineStr">
        <is>
          <t>FIX</t>
        </is>
      </c>
    </row>
    <row r="312">
      <c r="A312" t="n">
        <v>25998433</v>
      </c>
      <c r="B312" t="n">
        <v>311</v>
      </c>
      <c r="C312" t="n">
        <v>27781</v>
      </c>
      <c r="D312" t="n">
        <v>9259</v>
      </c>
      <c r="E312" t="n">
        <v>192</v>
      </c>
      <c r="F312" t="n">
        <v>2.8036</v>
      </c>
      <c r="G312" s="30" t="n">
        <v>0.000581</v>
      </c>
      <c r="H312" s="14" t="n">
        <v>0.9056999999999999</v>
      </c>
      <c r="I312" t="n">
        <v>0.333285</v>
      </c>
      <c r="J312" t="n">
        <v>0.0207</v>
      </c>
      <c r="K312" t="n">
        <v>0.014602</v>
      </c>
      <c r="L312" t="n">
        <v>1.1622</v>
      </c>
      <c r="M312" t="n">
        <v>0.5468</v>
      </c>
      <c r="N312" t="n">
        <v>0.6355</v>
      </c>
      <c r="O312" t="inlineStr">
        <is>
          <t>PROTECT</t>
        </is>
      </c>
    </row>
    <row r="313">
      <c r="A313" t="n">
        <v>9610626</v>
      </c>
      <c r="B313" t="n">
        <v>312</v>
      </c>
      <c r="C313" t="n">
        <v>39029</v>
      </c>
      <c r="D313" t="n">
        <v>12430</v>
      </c>
      <c r="E313" t="n">
        <v>2335</v>
      </c>
      <c r="F313" t="n">
        <v>2.745</v>
      </c>
      <c r="G313" s="30" t="n">
        <v>0.000568</v>
      </c>
      <c r="H313" s="14" t="n">
        <v>0.9063</v>
      </c>
      <c r="I313" t="n">
        <v>0.318481</v>
      </c>
      <c r="J313" t="n">
        <v>0.1879</v>
      </c>
      <c r="K313" t="n">
        <v>0.001176</v>
      </c>
      <c r="L313" t="n">
        <v>6.3119</v>
      </c>
      <c r="M313" t="n">
        <v>0.1225</v>
      </c>
      <c r="N313" t="n">
        <v>0.7733</v>
      </c>
      <c r="O313" t="inlineStr">
        <is>
          <t>PROTECT</t>
        </is>
      </c>
    </row>
    <row r="314">
      <c r="A314" t="n">
        <v>21658041</v>
      </c>
      <c r="B314" t="n">
        <v>313</v>
      </c>
      <c r="C314" t="n">
        <v>7037</v>
      </c>
      <c r="D314" t="n">
        <v>2658</v>
      </c>
      <c r="E314" t="n">
        <v>24</v>
      </c>
      <c r="F314" t="n">
        <v>2.732</v>
      </c>
      <c r="G314" s="30" t="n">
        <v>0.000566</v>
      </c>
      <c r="H314" s="14" t="n">
        <v>0.9068000000000001</v>
      </c>
      <c r="I314" t="n">
        <v>0.377718</v>
      </c>
      <c r="J314" t="n">
        <v>0.008999999999999999</v>
      </c>
      <c r="K314" t="n">
        <v>0.113833</v>
      </c>
      <c r="L314" t="n">
        <v>0.364</v>
      </c>
      <c r="M314" t="n">
        <v>0.9639</v>
      </c>
      <c r="N314" t="n">
        <v>0.3508</v>
      </c>
      <c r="O314" t="inlineStr">
        <is>
          <t>FIX</t>
        </is>
      </c>
    </row>
    <row r="315">
      <c r="A315" t="n">
        <v>10383101</v>
      </c>
      <c r="B315" t="n">
        <v>314</v>
      </c>
      <c r="C315" t="n">
        <v>11380</v>
      </c>
      <c r="D315" t="n">
        <v>4527</v>
      </c>
      <c r="E315" t="n">
        <v>182</v>
      </c>
      <c r="F315" t="n">
        <v>2.7261</v>
      </c>
      <c r="G315" s="30" t="n">
        <v>0.000564</v>
      </c>
      <c r="H315" s="14" t="n">
        <v>0.9074</v>
      </c>
      <c r="I315" t="n">
        <v>0.397803</v>
      </c>
      <c r="J315" t="n">
        <v>0.0402</v>
      </c>
      <c r="K315" t="n">
        <v>0.014979</v>
      </c>
      <c r="L315" t="n">
        <v>0.4847</v>
      </c>
      <c r="M315" t="n">
        <v>0.9205</v>
      </c>
      <c r="N315" t="n">
        <v>0.4461</v>
      </c>
      <c r="O315" t="inlineStr">
        <is>
          <t>PROTECT</t>
        </is>
      </c>
    </row>
    <row r="316">
      <c r="A316" t="n">
        <v>6781040</v>
      </c>
      <c r="B316" t="n">
        <v>315</v>
      </c>
      <c r="C316" t="n">
        <v>26999</v>
      </c>
      <c r="D316" t="n">
        <v>10784</v>
      </c>
      <c r="E316" t="n">
        <v>567</v>
      </c>
      <c r="F316" t="n">
        <v>2.7212</v>
      </c>
      <c r="G316" s="30" t="n">
        <v>0.000563</v>
      </c>
      <c r="H316" s="14" t="n">
        <v>0.9079</v>
      </c>
      <c r="I316" t="n">
        <v>0.399422</v>
      </c>
      <c r="J316" t="n">
        <v>0.0526</v>
      </c>
      <c r="K316" t="n">
        <v>0.004799</v>
      </c>
      <c r="L316" t="n">
        <v>0.7598</v>
      </c>
      <c r="M316" t="n">
        <v>0.5704</v>
      </c>
      <c r="N316" t="n">
        <v>0.4334</v>
      </c>
      <c r="O316" t="inlineStr">
        <is>
          <t>PROTECT</t>
        </is>
      </c>
    </row>
    <row r="317">
      <c r="A317" t="n">
        <v>13300118</v>
      </c>
      <c r="B317" t="n">
        <v>316</v>
      </c>
      <c r="C317" t="n">
        <v>11747</v>
      </c>
      <c r="D317" t="n">
        <v>3219</v>
      </c>
      <c r="E317" t="n">
        <v>72</v>
      </c>
      <c r="F317" t="n">
        <v>2.7195</v>
      </c>
      <c r="G317" s="30" t="n">
        <v>0.000563</v>
      </c>
      <c r="H317" s="14" t="n">
        <v>0.9085</v>
      </c>
      <c r="I317" t="n">
        <v>0.274027</v>
      </c>
      <c r="J317" t="n">
        <v>0.0224</v>
      </c>
      <c r="K317" t="n">
        <v>0.037771</v>
      </c>
      <c r="L317" t="n">
        <v>2.1882</v>
      </c>
      <c r="M317" t="n">
        <v>0.3149</v>
      </c>
      <c r="N317" t="n">
        <v>0.6891</v>
      </c>
      <c r="O317" t="inlineStr">
        <is>
          <t>FIX</t>
        </is>
      </c>
    </row>
    <row r="318">
      <c r="A318" t="n">
        <v>5612724</v>
      </c>
      <c r="B318" t="n">
        <v>317</v>
      </c>
      <c r="C318" t="n">
        <v>7141</v>
      </c>
      <c r="D318" t="n">
        <v>2381</v>
      </c>
      <c r="E318" t="n">
        <v>144</v>
      </c>
      <c r="F318" t="n">
        <v>2.6922</v>
      </c>
      <c r="G318" s="30" t="n">
        <v>0.000557</v>
      </c>
      <c r="H318" s="14" t="n">
        <v>0.9091</v>
      </c>
      <c r="I318" t="n">
        <v>0.333427</v>
      </c>
      <c r="J318" t="n">
        <v>0.0605</v>
      </c>
      <c r="K318" t="n">
        <v>0.018696</v>
      </c>
      <c r="L318" t="n">
        <v>4.7993</v>
      </c>
      <c r="M318" t="n">
        <v>0.1524</v>
      </c>
      <c r="N318" t="n">
        <v>0.7314000000000001</v>
      </c>
      <c r="O318" t="inlineStr">
        <is>
          <t>FIX</t>
        </is>
      </c>
    </row>
    <row r="319">
      <c r="A319" t="n">
        <v>20530187</v>
      </c>
      <c r="B319" t="n">
        <v>318</v>
      </c>
      <c r="C319" t="n">
        <v>12494</v>
      </c>
      <c r="D319" t="n">
        <v>4176</v>
      </c>
      <c r="E319" t="n">
        <v>84</v>
      </c>
      <c r="F319" t="n">
        <v>2.6894</v>
      </c>
      <c r="G319" s="30" t="n">
        <v>0.000557</v>
      </c>
      <c r="H319" s="14" t="n">
        <v>0.9096</v>
      </c>
      <c r="I319" t="n">
        <v>0.33424</v>
      </c>
      <c r="J319" t="n">
        <v>0.0201</v>
      </c>
      <c r="K319" t="n">
        <v>0.032017</v>
      </c>
      <c r="L319" t="n">
        <v>0.9125</v>
      </c>
      <c r="M319" t="n">
        <v>0.6602</v>
      </c>
      <c r="N319" t="n">
        <v>0.6024</v>
      </c>
      <c r="O319" t="inlineStr">
        <is>
          <t>FIX</t>
        </is>
      </c>
    </row>
    <row r="320">
      <c r="A320" t="n">
        <v>25675129</v>
      </c>
      <c r="B320" t="n">
        <v>319</v>
      </c>
      <c r="C320" t="n">
        <v>10596</v>
      </c>
      <c r="D320" t="n">
        <v>4187</v>
      </c>
      <c r="E320" t="n">
        <v>52</v>
      </c>
      <c r="F320" t="n">
        <v>2.682</v>
      </c>
      <c r="G320" s="30" t="n">
        <v>0.000555</v>
      </c>
      <c r="H320" s="14" t="n">
        <v>0.9102</v>
      </c>
      <c r="I320" t="n">
        <v>0.395149</v>
      </c>
      <c r="J320" t="n">
        <v>0.0124</v>
      </c>
      <c r="K320" t="n">
        <v>0.051576</v>
      </c>
      <c r="L320" t="n">
        <v>0.4288</v>
      </c>
      <c r="M320" t="n">
        <v>1.0487</v>
      </c>
      <c r="N320" t="n">
        <v>0.4497</v>
      </c>
      <c r="O320" t="inlineStr">
        <is>
          <t>FIX</t>
        </is>
      </c>
    </row>
    <row r="321">
      <c r="A321" t="n">
        <v>24491616</v>
      </c>
      <c r="B321" t="n">
        <v>320</v>
      </c>
      <c r="C321" t="n">
        <v>9031</v>
      </c>
      <c r="D321" t="n">
        <v>4214</v>
      </c>
      <c r="E321" t="n">
        <v>151</v>
      </c>
      <c r="F321" t="n">
        <v>2.6806</v>
      </c>
      <c r="G321" s="30" t="n">
        <v>0.000555</v>
      </c>
      <c r="H321" s="14" t="n">
        <v>0.9107</v>
      </c>
      <c r="I321" t="n">
        <v>0.466615</v>
      </c>
      <c r="J321" t="n">
        <v>0.0358</v>
      </c>
      <c r="K321" t="n">
        <v>0.017752</v>
      </c>
      <c r="L321" t="n">
        <v>0.8361</v>
      </c>
      <c r="M321" t="n">
        <v>0.7109</v>
      </c>
      <c r="N321" t="n">
        <v>0.5944</v>
      </c>
      <c r="O321" t="inlineStr">
        <is>
          <t>PROTECT</t>
        </is>
      </c>
    </row>
    <row r="322">
      <c r="A322" t="n">
        <v>27614018</v>
      </c>
      <c r="B322" t="n">
        <v>321</v>
      </c>
      <c r="C322" t="n">
        <v>18027</v>
      </c>
      <c r="D322" t="n">
        <v>7304</v>
      </c>
      <c r="E322" t="n">
        <v>231</v>
      </c>
      <c r="F322" t="n">
        <v>2.6579</v>
      </c>
      <c r="G322" s="30" t="n">
        <v>0.00055</v>
      </c>
      <c r="H322" s="14" t="n">
        <v>0.9113</v>
      </c>
      <c r="I322" t="n">
        <v>0.40517</v>
      </c>
      <c r="J322" t="n">
        <v>0.0316</v>
      </c>
      <c r="K322" t="n">
        <v>0.011506</v>
      </c>
      <c r="L322" t="n">
        <v>1.0425</v>
      </c>
      <c r="M322" t="n">
        <v>0.584</v>
      </c>
      <c r="N322" t="n">
        <v>0.6088</v>
      </c>
      <c r="O322" t="inlineStr">
        <is>
          <t>PROTECT</t>
        </is>
      </c>
    </row>
    <row r="323">
      <c r="A323" t="n">
        <v>15323491</v>
      </c>
      <c r="B323" t="n">
        <v>322</v>
      </c>
      <c r="C323" t="n">
        <v>4915</v>
      </c>
      <c r="D323" t="n">
        <v>1884</v>
      </c>
      <c r="E323" t="n">
        <v>99</v>
      </c>
      <c r="F323" t="n">
        <v>2.6336</v>
      </c>
      <c r="G323" s="30" t="n">
        <v>0.000545</v>
      </c>
      <c r="H323" s="14" t="n">
        <v>0.9118000000000001</v>
      </c>
      <c r="I323" t="n">
        <v>0.383316</v>
      </c>
      <c r="J323" t="n">
        <v>0.0525</v>
      </c>
      <c r="K323" t="n">
        <v>0.026602</v>
      </c>
      <c r="L323" t="n">
        <v>1.6406</v>
      </c>
      <c r="M323" t="n">
        <v>0.382</v>
      </c>
      <c r="N323" t="n">
        <v>0.6267</v>
      </c>
      <c r="O323" t="inlineStr">
        <is>
          <t>FIX</t>
        </is>
      </c>
    </row>
    <row r="324">
      <c r="A324" t="n">
        <v>10245630</v>
      </c>
      <c r="B324" t="n">
        <v>323</v>
      </c>
      <c r="C324" t="n">
        <v>9192</v>
      </c>
      <c r="D324" t="n">
        <v>3161</v>
      </c>
      <c r="E324" t="n">
        <v>113</v>
      </c>
      <c r="F324" t="n">
        <v>2.6125</v>
      </c>
      <c r="G324" s="30" t="n">
        <v>0.000541</v>
      </c>
      <c r="H324" s="14" t="n">
        <v>0.9124</v>
      </c>
      <c r="I324" t="n">
        <v>0.343886</v>
      </c>
      <c r="J324" t="n">
        <v>0.0357</v>
      </c>
      <c r="K324" t="n">
        <v>0.023119</v>
      </c>
      <c r="L324" t="n">
        <v>1.1954</v>
      </c>
      <c r="M324" t="n">
        <v>0.4769</v>
      </c>
      <c r="N324" t="n">
        <v>0.5701000000000001</v>
      </c>
      <c r="O324" t="inlineStr">
        <is>
          <t>FIX</t>
        </is>
      </c>
    </row>
    <row r="325">
      <c r="A325" t="n">
        <v>10491643</v>
      </c>
      <c r="B325" t="n">
        <v>324</v>
      </c>
      <c r="C325" t="n">
        <v>21645</v>
      </c>
      <c r="D325" t="n">
        <v>8018</v>
      </c>
      <c r="E325" t="n">
        <v>149</v>
      </c>
      <c r="F325" t="n">
        <v>2.606</v>
      </c>
      <c r="G325" s="30" t="n">
        <v>0.00054</v>
      </c>
      <c r="H325" s="14" t="n">
        <v>0.9129</v>
      </c>
      <c r="I325" t="n">
        <v>0.370432</v>
      </c>
      <c r="J325" t="n">
        <v>0.0186</v>
      </c>
      <c r="K325" t="n">
        <v>0.01749</v>
      </c>
      <c r="L325" t="n">
        <v>0.9487</v>
      </c>
      <c r="M325" t="n">
        <v>0.5876</v>
      </c>
      <c r="N325" t="n">
        <v>0.5575</v>
      </c>
      <c r="O325" t="inlineStr">
        <is>
          <t>PROTECT</t>
        </is>
      </c>
    </row>
    <row r="326">
      <c r="A326" t="n">
        <v>22695010</v>
      </c>
      <c r="B326" t="n">
        <v>325</v>
      </c>
      <c r="C326" t="n">
        <v>6454</v>
      </c>
      <c r="D326" t="n">
        <v>1996</v>
      </c>
      <c r="E326" t="n">
        <v>181</v>
      </c>
      <c r="F326" t="n">
        <v>2.5943</v>
      </c>
      <c r="G326" s="30" t="n">
        <v>0.000537</v>
      </c>
      <c r="H326" s="14" t="n">
        <v>0.9134</v>
      </c>
      <c r="I326" t="n">
        <v>0.309266</v>
      </c>
      <c r="J326" t="n">
        <v>0.0907</v>
      </c>
      <c r="K326" t="n">
        <v>0.014333</v>
      </c>
      <c r="L326" t="n">
        <v>2.0614</v>
      </c>
      <c r="M326" t="n">
        <v>0.4118</v>
      </c>
      <c r="N326" t="n">
        <v>0.8489</v>
      </c>
      <c r="O326" t="inlineStr">
        <is>
          <t>PROTECT</t>
        </is>
      </c>
    </row>
    <row r="327">
      <c r="A327" t="n">
        <v>13104554</v>
      </c>
      <c r="B327" t="n">
        <v>326</v>
      </c>
      <c r="C327" t="n">
        <v>10413</v>
      </c>
      <c r="D327" t="n">
        <v>2959</v>
      </c>
      <c r="E327" t="n">
        <v>118</v>
      </c>
      <c r="F327" t="n">
        <v>2.5942</v>
      </c>
      <c r="G327" s="30" t="n">
        <v>0.000537</v>
      </c>
      <c r="H327" s="14" t="n">
        <v>0.914</v>
      </c>
      <c r="I327" t="n">
        <v>0.284164</v>
      </c>
      <c r="J327" t="n">
        <v>0.0399</v>
      </c>
      <c r="K327" t="n">
        <v>0.021985</v>
      </c>
      <c r="L327" t="n">
        <v>0.4383</v>
      </c>
      <c r="M327" t="n">
        <v>0.9177</v>
      </c>
      <c r="N327" t="n">
        <v>0.4022</v>
      </c>
      <c r="O327" t="inlineStr">
        <is>
          <t>FIX</t>
        </is>
      </c>
    </row>
    <row r="328">
      <c r="A328" t="n">
        <v>8877963</v>
      </c>
      <c r="B328" t="n">
        <v>327</v>
      </c>
      <c r="C328" t="n">
        <v>12465</v>
      </c>
      <c r="D328" t="n">
        <v>5472</v>
      </c>
      <c r="E328" t="n">
        <v>239</v>
      </c>
      <c r="F328" t="n">
        <v>2.5832</v>
      </c>
      <c r="G328" s="30" t="n">
        <v>0.000535</v>
      </c>
      <c r="H328" s="14" t="n">
        <v>0.9145</v>
      </c>
      <c r="I328" t="n">
        <v>0.438989</v>
      </c>
      <c r="J328" t="n">
        <v>0.0437</v>
      </c>
      <c r="K328" t="n">
        <v>0.010808</v>
      </c>
      <c r="L328" t="n">
        <v>0.9605</v>
      </c>
      <c r="M328" t="n">
        <v>0.5891</v>
      </c>
      <c r="N328" t="n">
        <v>0.5659</v>
      </c>
      <c r="O328" t="inlineStr">
        <is>
          <t>PROTECT</t>
        </is>
      </c>
    </row>
    <row r="329">
      <c r="A329" t="n">
        <v>25064375</v>
      </c>
      <c r="B329" t="n">
        <v>328</v>
      </c>
      <c r="C329" t="n">
        <v>11605</v>
      </c>
      <c r="D329" t="n">
        <v>3145</v>
      </c>
      <c r="E329" t="n">
        <v>82</v>
      </c>
      <c r="F329" t="n">
        <v>2.568</v>
      </c>
      <c r="G329" s="30" t="n">
        <v>0.000532</v>
      </c>
      <c r="H329" s="14" t="n">
        <v>0.915</v>
      </c>
      <c r="I329" t="n">
        <v>0.271004</v>
      </c>
      <c r="J329" t="n">
        <v>0.0261</v>
      </c>
      <c r="K329" t="n">
        <v>0.031317</v>
      </c>
      <c r="L329" t="n">
        <v>0.1593</v>
      </c>
      <c r="M329" t="n">
        <v>1.478</v>
      </c>
      <c r="N329" t="n">
        <v>0.2354</v>
      </c>
      <c r="O329" t="inlineStr">
        <is>
          <t>FIX</t>
        </is>
      </c>
    </row>
    <row r="330">
      <c r="A330" t="n">
        <v>9700343</v>
      </c>
      <c r="B330" t="n">
        <v>329</v>
      </c>
      <c r="C330" t="n">
        <v>10093</v>
      </c>
      <c r="D330" t="n">
        <v>4388</v>
      </c>
      <c r="E330" t="n">
        <v>344</v>
      </c>
      <c r="F330" t="n">
        <v>2.5663</v>
      </c>
      <c r="G330" s="30" t="n">
        <v>0.000531</v>
      </c>
      <c r="H330" s="14" t="n">
        <v>0.9156</v>
      </c>
      <c r="I330" t="n">
        <v>0.434757</v>
      </c>
      <c r="J330" t="n">
        <v>0.0784</v>
      </c>
      <c r="K330" t="n">
        <v>0.00746</v>
      </c>
      <c r="L330" t="n">
        <v>0.3229</v>
      </c>
      <c r="M330" t="n">
        <v>0.778</v>
      </c>
      <c r="N330" t="n">
        <v>0.2512</v>
      </c>
      <c r="O330" t="inlineStr">
        <is>
          <t>PROTECT</t>
        </is>
      </c>
    </row>
    <row r="331">
      <c r="A331" t="n">
        <v>25998432</v>
      </c>
      <c r="B331" t="n">
        <v>330</v>
      </c>
      <c r="C331" t="n">
        <v>44748</v>
      </c>
      <c r="D331" t="n">
        <v>14867</v>
      </c>
      <c r="E331" t="n">
        <v>185</v>
      </c>
      <c r="F331" t="n">
        <v>2.5659</v>
      </c>
      <c r="G331" s="30" t="n">
        <v>0.000531</v>
      </c>
      <c r="H331" s="14" t="n">
        <v>0.9161</v>
      </c>
      <c r="I331" t="n">
        <v>0.332238</v>
      </c>
      <c r="J331" t="n">
        <v>0.0124</v>
      </c>
      <c r="K331" t="n">
        <v>0.01387</v>
      </c>
      <c r="L331" t="n">
        <v>1.0385</v>
      </c>
      <c r="M331" t="n">
        <v>0.5595</v>
      </c>
      <c r="N331" t="n">
        <v>0.581</v>
      </c>
      <c r="O331" t="inlineStr">
        <is>
          <t>PROTECT</t>
        </is>
      </c>
    </row>
    <row r="332">
      <c r="A332" t="n">
        <v>17435335</v>
      </c>
      <c r="B332" t="n">
        <v>331</v>
      </c>
      <c r="C332" t="n">
        <v>8476</v>
      </c>
      <c r="D332" t="n">
        <v>3037</v>
      </c>
      <c r="E332" t="n">
        <v>86</v>
      </c>
      <c r="F332" t="n">
        <v>2.5563</v>
      </c>
      <c r="G332" s="30" t="n">
        <v>0.000529</v>
      </c>
      <c r="H332" s="14" t="n">
        <v>0.9166</v>
      </c>
      <c r="I332" t="n">
        <v>0.358306</v>
      </c>
      <c r="J332" t="n">
        <v>0.0283</v>
      </c>
      <c r="K332" t="n">
        <v>0.029725</v>
      </c>
      <c r="L332" t="n">
        <v>0.5848</v>
      </c>
      <c r="M332" t="n">
        <v>0.8783</v>
      </c>
      <c r="N332" t="n">
        <v>0.5135999999999999</v>
      </c>
      <c r="O332" t="inlineStr">
        <is>
          <t>FIX</t>
        </is>
      </c>
    </row>
    <row r="333">
      <c r="A333" t="n">
        <v>25866076</v>
      </c>
      <c r="B333" t="n">
        <v>332</v>
      </c>
      <c r="C333" t="n">
        <v>22429</v>
      </c>
      <c r="D333" t="n">
        <v>8650</v>
      </c>
      <c r="E333" t="n">
        <v>69</v>
      </c>
      <c r="F333" t="n">
        <v>2.5244</v>
      </c>
      <c r="G333" s="30" t="n">
        <v>0.000523</v>
      </c>
      <c r="H333" s="14" t="n">
        <v>0.9172</v>
      </c>
      <c r="I333" t="n">
        <v>0.385661</v>
      </c>
      <c r="J333" t="n">
        <v>0.008</v>
      </c>
      <c r="K333" t="n">
        <v>0.036586</v>
      </c>
      <c r="L333" t="n">
        <v>1.4334</v>
      </c>
      <c r="M333" t="n">
        <v>0.4789</v>
      </c>
      <c r="N333" t="n">
        <v>0.6865</v>
      </c>
      <c r="O333" t="inlineStr">
        <is>
          <t>FIX</t>
        </is>
      </c>
    </row>
    <row r="334">
      <c r="A334" t="n">
        <v>6697150</v>
      </c>
      <c r="B334" t="n">
        <v>333</v>
      </c>
      <c r="C334" t="n">
        <v>10818</v>
      </c>
      <c r="D334" t="n">
        <v>3334</v>
      </c>
      <c r="E334" t="n">
        <v>94</v>
      </c>
      <c r="F334" t="n">
        <v>2.5173</v>
      </c>
      <c r="G334" s="30" t="n">
        <v>0.000521</v>
      </c>
      <c r="H334" s="14" t="n">
        <v>0.9177</v>
      </c>
      <c r="I334" t="n">
        <v>0.30819</v>
      </c>
      <c r="J334" t="n">
        <v>0.0282</v>
      </c>
      <c r="K334" t="n">
        <v>0.026779</v>
      </c>
      <c r="L334" t="n">
        <v>0.8051</v>
      </c>
      <c r="M334" t="n">
        <v>0.6312</v>
      </c>
      <c r="N334" t="n">
        <v>0.5082</v>
      </c>
      <c r="O334" t="inlineStr">
        <is>
          <t>FIX</t>
        </is>
      </c>
    </row>
    <row r="335">
      <c r="A335" t="n">
        <v>18916124</v>
      </c>
      <c r="B335" t="n">
        <v>334</v>
      </c>
      <c r="C335" t="n">
        <v>9307</v>
      </c>
      <c r="D335" t="n">
        <v>2224</v>
      </c>
      <c r="E335" t="n">
        <v>257</v>
      </c>
      <c r="F335" t="n">
        <v>2.5023</v>
      </c>
      <c r="G335" s="30" t="n">
        <v>0.000518</v>
      </c>
      <c r="H335" s="14" t="n">
        <v>0.9182</v>
      </c>
      <c r="I335" t="n">
        <v>0.23896</v>
      </c>
      <c r="J335" t="n">
        <v>0.1156</v>
      </c>
      <c r="K335" t="n">
        <v>0.009736</v>
      </c>
      <c r="L335" t="n">
        <v>1.0661</v>
      </c>
      <c r="M335" t="n">
        <v>0.5787</v>
      </c>
      <c r="N335" t="n">
        <v>0.6169</v>
      </c>
      <c r="O335" t="inlineStr">
        <is>
          <t>PROTECT</t>
        </is>
      </c>
    </row>
    <row r="336">
      <c r="A336" t="n">
        <v>27323541</v>
      </c>
      <c r="B336" t="n">
        <v>335</v>
      </c>
      <c r="C336" t="n">
        <v>18707</v>
      </c>
      <c r="D336" t="n">
        <v>7376</v>
      </c>
      <c r="E336" t="n">
        <v>80</v>
      </c>
      <c r="F336" t="n">
        <v>2.4949</v>
      </c>
      <c r="G336" s="30" t="n">
        <v>0.000517</v>
      </c>
      <c r="H336" s="14" t="n">
        <v>0.9187</v>
      </c>
      <c r="I336" t="n">
        <v>0.394291</v>
      </c>
      <c r="J336" t="n">
        <v>0.0108</v>
      </c>
      <c r="K336" t="n">
        <v>0.031186</v>
      </c>
      <c r="L336" t="n">
        <v>0.4854</v>
      </c>
      <c r="M336" t="n">
        <v>0.7642</v>
      </c>
      <c r="N336" t="n">
        <v>0.3709</v>
      </c>
      <c r="O336" t="inlineStr">
        <is>
          <t>FIX</t>
        </is>
      </c>
    </row>
    <row r="337">
      <c r="A337" t="n">
        <v>27091101</v>
      </c>
      <c r="B337" t="n">
        <v>336</v>
      </c>
      <c r="C337" t="n">
        <v>5000</v>
      </c>
      <c r="D337" t="n">
        <v>1884</v>
      </c>
      <c r="E337" t="n">
        <v>171</v>
      </c>
      <c r="F337" t="n">
        <v>2.4929</v>
      </c>
      <c r="G337" s="30" t="n">
        <v>0.000516</v>
      </c>
      <c r="H337" s="14" t="n">
        <v>0.9192</v>
      </c>
      <c r="I337" t="n">
        <v>0.3768</v>
      </c>
      <c r="J337" t="n">
        <v>0.09080000000000001</v>
      </c>
      <c r="K337" t="n">
        <v>0.014578</v>
      </c>
      <c r="L337" t="n">
        <v>1.0356</v>
      </c>
      <c r="M337" t="n">
        <v>0.5688</v>
      </c>
      <c r="N337" t="n">
        <v>0.589</v>
      </c>
      <c r="O337" t="inlineStr">
        <is>
          <t>PROTECT</t>
        </is>
      </c>
    </row>
    <row r="338">
      <c r="A338" t="n">
        <v>12042373</v>
      </c>
      <c r="B338" t="n">
        <v>337</v>
      </c>
      <c r="C338" t="n">
        <v>25557</v>
      </c>
      <c r="D338" t="n">
        <v>7643</v>
      </c>
      <c r="E338" t="n">
        <v>73</v>
      </c>
      <c r="F338" t="n">
        <v>2.4851</v>
      </c>
      <c r="G338" s="30" t="n">
        <v>0.000515</v>
      </c>
      <c r="H338" s="14" t="n">
        <v>0.9198</v>
      </c>
      <c r="I338" t="n">
        <v>0.299057</v>
      </c>
      <c r="J338" t="n">
        <v>0.009599999999999999</v>
      </c>
      <c r="K338" t="n">
        <v>0.034042</v>
      </c>
      <c r="L338" t="n">
        <v>3.351</v>
      </c>
      <c r="M338" t="n">
        <v>0.2049</v>
      </c>
      <c r="N338" t="n">
        <v>0.6866</v>
      </c>
      <c r="O338" t="inlineStr">
        <is>
          <t>FIX</t>
        </is>
      </c>
    </row>
    <row r="339">
      <c r="A339" t="n">
        <v>26614024</v>
      </c>
      <c r="B339" t="n">
        <v>338</v>
      </c>
      <c r="C339" t="n">
        <v>4909</v>
      </c>
      <c r="D339" t="n">
        <v>1786</v>
      </c>
      <c r="E339" t="n">
        <v>82</v>
      </c>
      <c r="F339" t="n">
        <v>2.4836</v>
      </c>
      <c r="G339" s="30" t="n">
        <v>0.000514</v>
      </c>
      <c r="H339" s="14" t="n">
        <v>0.9203</v>
      </c>
      <c r="I339" t="n">
        <v>0.363822</v>
      </c>
      <c r="J339" t="n">
        <v>0.0459</v>
      </c>
      <c r="K339" t="n">
        <v>0.030288</v>
      </c>
      <c r="L339" t="n">
        <v>0.0508</v>
      </c>
      <c r="M339" t="n">
        <v>1.7387</v>
      </c>
      <c r="N339" t="n">
        <v>0.08840000000000001</v>
      </c>
      <c r="O339" t="inlineStr">
        <is>
          <t>FIX</t>
        </is>
      </c>
    </row>
    <row r="340">
      <c r="A340" t="n">
        <v>2953716</v>
      </c>
      <c r="B340" t="n">
        <v>339</v>
      </c>
      <c r="C340" t="n">
        <v>38028</v>
      </c>
      <c r="D340" t="n">
        <v>14344</v>
      </c>
      <c r="E340" t="n">
        <v>208</v>
      </c>
      <c r="F340" t="n">
        <v>2.4729</v>
      </c>
      <c r="G340" s="30" t="n">
        <v>0.000512</v>
      </c>
      <c r="H340" s="14" t="n">
        <v>0.9208</v>
      </c>
      <c r="I340" t="n">
        <v>0.377196</v>
      </c>
      <c r="J340" t="n">
        <v>0.0145</v>
      </c>
      <c r="K340" t="n">
        <v>0.011889</v>
      </c>
      <c r="L340" t="n">
        <v>1.1002</v>
      </c>
      <c r="M340" t="n">
        <v>0.4908</v>
      </c>
      <c r="N340" t="n">
        <v>0.54</v>
      </c>
      <c r="O340" t="inlineStr">
        <is>
          <t>GROW</t>
        </is>
      </c>
    </row>
    <row r="341">
      <c r="A341" t="n">
        <v>3406183</v>
      </c>
      <c r="B341" t="n">
        <v>340</v>
      </c>
      <c r="C341" t="n">
        <v>8107</v>
      </c>
      <c r="D341" t="n">
        <v>2163</v>
      </c>
      <c r="E341" t="n">
        <v>78</v>
      </c>
      <c r="F341" t="n">
        <v>2.4621</v>
      </c>
      <c r="G341" s="30" t="n">
        <v>0.00051</v>
      </c>
      <c r="H341" s="14" t="n">
        <v>0.9213</v>
      </c>
      <c r="I341" t="n">
        <v>0.266806</v>
      </c>
      <c r="J341" t="n">
        <v>0.0361</v>
      </c>
      <c r="K341" t="n">
        <v>0.031565</v>
      </c>
      <c r="L341" t="n">
        <v>2.9679</v>
      </c>
      <c r="M341" t="n">
        <v>0.2516</v>
      </c>
      <c r="N341" t="n">
        <v>0.7466</v>
      </c>
      <c r="O341" t="inlineStr">
        <is>
          <t>WATCH</t>
        </is>
      </c>
    </row>
    <row r="342">
      <c r="A342" t="n">
        <v>26491443</v>
      </c>
      <c r="B342" t="n">
        <v>341</v>
      </c>
      <c r="C342" t="n">
        <v>5770</v>
      </c>
      <c r="D342" t="n">
        <v>2565</v>
      </c>
      <c r="E342" t="n">
        <v>39</v>
      </c>
      <c r="F342" t="n">
        <v>2.4592</v>
      </c>
      <c r="G342" s="30" t="n">
        <v>0.000509</v>
      </c>
      <c r="H342" s="14" t="n">
        <v>0.9218</v>
      </c>
      <c r="I342" t="n">
        <v>0.444541</v>
      </c>
      <c r="J342" t="n">
        <v>0.0152</v>
      </c>
      <c r="K342" t="n">
        <v>0.063057</v>
      </c>
      <c r="L342" t="n">
        <v>0.6684</v>
      </c>
      <c r="M342" t="n">
        <v>0.4625</v>
      </c>
      <c r="N342" t="n">
        <v>0.3091</v>
      </c>
      <c r="O342" t="inlineStr">
        <is>
          <t>WATCH</t>
        </is>
      </c>
    </row>
    <row r="343">
      <c r="A343" t="n">
        <v>26998432</v>
      </c>
      <c r="B343" t="n">
        <v>342</v>
      </c>
      <c r="C343" t="n">
        <v>12526</v>
      </c>
      <c r="D343" t="n">
        <v>4635</v>
      </c>
      <c r="E343" t="n">
        <v>158</v>
      </c>
      <c r="F343" t="n">
        <v>2.4466</v>
      </c>
      <c r="G343" s="30" t="n">
        <v>0.000507</v>
      </c>
      <c r="H343" s="14" t="n">
        <v>0.9223</v>
      </c>
      <c r="I343" t="n">
        <v>0.37003</v>
      </c>
      <c r="J343" t="n">
        <v>0.0341</v>
      </c>
      <c r="K343" t="n">
        <v>0.015485</v>
      </c>
      <c r="L343" t="n">
        <v>1.0529</v>
      </c>
      <c r="M343" t="n">
        <v>0.5164</v>
      </c>
      <c r="N343" t="n">
        <v>0.5437</v>
      </c>
      <c r="O343" t="inlineStr">
        <is>
          <t>GROW</t>
        </is>
      </c>
    </row>
    <row r="344">
      <c r="A344" t="n">
        <v>11803618</v>
      </c>
      <c r="B344" t="n">
        <v>343</v>
      </c>
      <c r="C344" t="n">
        <v>15887</v>
      </c>
      <c r="D344" t="n">
        <v>4283</v>
      </c>
      <c r="E344" t="n">
        <v>91</v>
      </c>
      <c r="F344" t="n">
        <v>2.4203</v>
      </c>
      <c r="G344" s="30" t="n">
        <v>0.000501</v>
      </c>
      <c r="H344" s="14" t="n">
        <v>0.9228</v>
      </c>
      <c r="I344" t="n">
        <v>0.269591</v>
      </c>
      <c r="J344" t="n">
        <v>0.0212</v>
      </c>
      <c r="K344" t="n">
        <v>0.026597</v>
      </c>
      <c r="L344" t="n">
        <v>0.7368</v>
      </c>
      <c r="M344" t="n">
        <v>0.676</v>
      </c>
      <c r="N344" t="n">
        <v>0.4981</v>
      </c>
      <c r="O344" t="inlineStr">
        <is>
          <t>WATCH</t>
        </is>
      </c>
    </row>
    <row r="345">
      <c r="A345" t="n">
        <v>2865319</v>
      </c>
      <c r="B345" t="n">
        <v>344</v>
      </c>
      <c r="C345" t="n">
        <v>5449</v>
      </c>
      <c r="D345" t="n">
        <v>1865</v>
      </c>
      <c r="E345" t="n">
        <v>56</v>
      </c>
      <c r="F345" t="n">
        <v>2.3984</v>
      </c>
      <c r="G345" s="30" t="n">
        <v>0.000497</v>
      </c>
      <c r="H345" s="14" t="n">
        <v>0.9233</v>
      </c>
      <c r="I345" t="n">
        <v>0.342265</v>
      </c>
      <c r="J345" t="n">
        <v>0.03</v>
      </c>
      <c r="K345" t="n">
        <v>0.042828</v>
      </c>
      <c r="L345" t="n">
        <v>0.9105</v>
      </c>
      <c r="M345" t="n">
        <v>0.6299</v>
      </c>
      <c r="N345" t="n">
        <v>0.5735</v>
      </c>
      <c r="O345" t="inlineStr">
        <is>
          <t>WATCH</t>
        </is>
      </c>
    </row>
    <row r="346">
      <c r="A346" t="n">
        <v>22891668</v>
      </c>
      <c r="B346" t="n">
        <v>345</v>
      </c>
      <c r="C346" t="n">
        <v>16362</v>
      </c>
      <c r="D346" t="n">
        <v>3347</v>
      </c>
      <c r="E346" t="n">
        <v>63</v>
      </c>
      <c r="F346" t="n">
        <v>2.3934</v>
      </c>
      <c r="G346" s="30" t="n">
        <v>0.000496</v>
      </c>
      <c r="H346" s="14" t="n">
        <v>0.9238</v>
      </c>
      <c r="I346" t="n">
        <v>0.204559</v>
      </c>
      <c r="J346" t="n">
        <v>0.0188</v>
      </c>
      <c r="K346" t="n">
        <v>0.03799</v>
      </c>
      <c r="L346" t="n">
        <v>2.2137</v>
      </c>
      <c r="M346" t="n">
        <v>0.4445</v>
      </c>
      <c r="N346" t="n">
        <v>0.9841</v>
      </c>
      <c r="O346" t="inlineStr">
        <is>
          <t>WATCH</t>
        </is>
      </c>
    </row>
    <row r="347">
      <c r="A347" t="n">
        <v>8407229</v>
      </c>
      <c r="B347" t="n">
        <v>346</v>
      </c>
      <c r="C347" t="n">
        <v>10567</v>
      </c>
      <c r="D347" t="n">
        <v>5382</v>
      </c>
      <c r="E347" t="n">
        <v>118</v>
      </c>
      <c r="F347" t="n">
        <v>2.3921</v>
      </c>
      <c r="G347" s="30" t="n">
        <v>0.000495</v>
      </c>
      <c r="H347" s="14" t="n">
        <v>0.9243</v>
      </c>
      <c r="I347" t="n">
        <v>0.509321</v>
      </c>
      <c r="J347" t="n">
        <v>0.0219</v>
      </c>
      <c r="K347" t="n">
        <v>0.020272</v>
      </c>
      <c r="L347" t="n">
        <v>1.0978</v>
      </c>
      <c r="M347" t="n">
        <v>0.518</v>
      </c>
      <c r="N347" t="n">
        <v>0.5686</v>
      </c>
      <c r="O347" t="inlineStr">
        <is>
          <t>WATCH</t>
        </is>
      </c>
    </row>
    <row r="348">
      <c r="A348" t="n">
        <v>28071513</v>
      </c>
      <c r="B348" t="n">
        <v>347</v>
      </c>
      <c r="C348" t="n">
        <v>4902</v>
      </c>
      <c r="D348" t="n">
        <v>1668</v>
      </c>
      <c r="E348" t="n">
        <v>106</v>
      </c>
      <c r="F348" t="n">
        <v>2.3766</v>
      </c>
      <c r="G348" s="30" t="n">
        <v>0.000492</v>
      </c>
      <c r="H348" s="14" t="n">
        <v>0.9248</v>
      </c>
      <c r="I348" t="n">
        <v>0.340269</v>
      </c>
      <c r="J348" t="n">
        <v>0.0635</v>
      </c>
      <c r="K348" t="n">
        <v>0.022421</v>
      </c>
      <c r="L348" t="n">
        <v>0.9695</v>
      </c>
      <c r="M348" t="n">
        <v>0.6227</v>
      </c>
      <c r="N348" t="n">
        <v>0.6037</v>
      </c>
      <c r="O348" t="inlineStr">
        <is>
          <t>WATCH</t>
        </is>
      </c>
    </row>
    <row r="349">
      <c r="A349" t="n">
        <v>30848316</v>
      </c>
      <c r="B349" t="n">
        <v>348</v>
      </c>
      <c r="C349" t="n">
        <v>11609</v>
      </c>
      <c r="D349" t="n">
        <v>3569</v>
      </c>
      <c r="E349" t="n">
        <v>185</v>
      </c>
      <c r="F349" t="n">
        <v>2.3537</v>
      </c>
      <c r="G349" s="30" t="n">
        <v>0.000487</v>
      </c>
      <c r="H349" s="14" t="n">
        <v>0.9253</v>
      </c>
      <c r="I349" t="n">
        <v>0.307434</v>
      </c>
      <c r="J349" t="n">
        <v>0.0518</v>
      </c>
      <c r="K349" t="n">
        <v>0.012723</v>
      </c>
      <c r="L349" t="n">
        <v>0.8024</v>
      </c>
      <c r="M349" t="n">
        <v>0.6633</v>
      </c>
      <c r="N349" t="n">
        <v>0.5322</v>
      </c>
      <c r="O349" t="inlineStr">
        <is>
          <t>GROW</t>
        </is>
      </c>
    </row>
    <row r="350">
      <c r="A350" t="n">
        <v>5061823</v>
      </c>
      <c r="B350" t="n">
        <v>349</v>
      </c>
      <c r="C350" t="n">
        <v>5738</v>
      </c>
      <c r="D350" t="n">
        <v>2017</v>
      </c>
      <c r="E350" t="n">
        <v>49</v>
      </c>
      <c r="F350" t="n">
        <v>2.3366</v>
      </c>
      <c r="G350" s="30" t="n">
        <v>0.000484</v>
      </c>
      <c r="H350" s="14" t="n">
        <v>0.9258</v>
      </c>
      <c r="I350" t="n">
        <v>0.351516</v>
      </c>
      <c r="J350" t="n">
        <v>0.0243</v>
      </c>
      <c r="K350" t="n">
        <v>0.047687</v>
      </c>
      <c r="L350" t="n">
        <v>1.1741</v>
      </c>
      <c r="M350" t="n">
        <v>0.5716</v>
      </c>
      <c r="N350" t="n">
        <v>0.6712</v>
      </c>
      <c r="O350" t="inlineStr">
        <is>
          <t>WATCH</t>
        </is>
      </c>
    </row>
    <row r="351">
      <c r="A351" t="n">
        <v>22274902</v>
      </c>
      <c r="B351" t="n">
        <v>350</v>
      </c>
      <c r="C351" t="n">
        <v>13149</v>
      </c>
      <c r="D351" t="n">
        <v>1991</v>
      </c>
      <c r="E351" t="n">
        <v>43</v>
      </c>
      <c r="F351" t="n">
        <v>2.3123</v>
      </c>
      <c r="G351" s="30" t="n">
        <v>0.000479</v>
      </c>
      <c r="H351" s="14" t="n">
        <v>0.9262</v>
      </c>
      <c r="I351" t="n">
        <v>0.151418</v>
      </c>
      <c r="J351" t="n">
        <v>0.0216</v>
      </c>
      <c r="K351" t="n">
        <v>0.053775</v>
      </c>
      <c r="L351" t="n">
        <v>1.1795</v>
      </c>
      <c r="M351" t="n">
        <v>0.3629</v>
      </c>
      <c r="N351" t="n">
        <v>0.428</v>
      </c>
      <c r="O351" t="inlineStr">
        <is>
          <t>WATCH</t>
        </is>
      </c>
    </row>
    <row r="352">
      <c r="A352" t="n">
        <v>30881002</v>
      </c>
      <c r="B352" t="n">
        <v>351</v>
      </c>
      <c r="C352" t="n">
        <v>18892</v>
      </c>
      <c r="D352" t="n">
        <v>5292</v>
      </c>
      <c r="E352" t="n">
        <v>2468</v>
      </c>
      <c r="F352" t="n">
        <v>2.3001</v>
      </c>
      <c r="G352" s="30" t="n">
        <v>0.000476</v>
      </c>
      <c r="H352" s="14" t="n">
        <v>0.9267</v>
      </c>
      <c r="I352" t="n">
        <v>0.280119</v>
      </c>
      <c r="J352" t="n">
        <v>0.4664</v>
      </c>
      <c r="K352" t="n">
        <v>0.000932</v>
      </c>
      <c r="L352" t="n">
        <v>7.119</v>
      </c>
      <c r="M352" t="n">
        <v>0.1203</v>
      </c>
      <c r="N352" t="n">
        <v>0.8565</v>
      </c>
      <c r="O352" t="inlineStr">
        <is>
          <t>GROW</t>
        </is>
      </c>
    </row>
    <row r="353">
      <c r="A353" t="n">
        <v>7299461</v>
      </c>
      <c r="B353" t="n">
        <v>352</v>
      </c>
      <c r="C353" t="n">
        <v>15028</v>
      </c>
      <c r="D353" t="n">
        <v>2728</v>
      </c>
      <c r="E353" t="n">
        <v>60</v>
      </c>
      <c r="F353" t="n">
        <v>2.2792</v>
      </c>
      <c r="G353" s="30" t="n">
        <v>0.000472</v>
      </c>
      <c r="H353" s="14" t="n">
        <v>0.9272</v>
      </c>
      <c r="I353" t="n">
        <v>0.181528</v>
      </c>
      <c r="J353" t="n">
        <v>0.022</v>
      </c>
      <c r="K353" t="n">
        <v>0.037987</v>
      </c>
      <c r="L353" t="n">
        <v>0.7635999999999999</v>
      </c>
      <c r="M353" t="n">
        <v>0.492</v>
      </c>
      <c r="N353" t="n">
        <v>0.3757</v>
      </c>
      <c r="O353" t="inlineStr">
        <is>
          <t>WATCH</t>
        </is>
      </c>
    </row>
    <row r="354">
      <c r="A354" t="n">
        <v>16422824</v>
      </c>
      <c r="B354" t="n">
        <v>353</v>
      </c>
      <c r="C354" t="n">
        <v>6004</v>
      </c>
      <c r="D354" t="n">
        <v>2321</v>
      </c>
      <c r="E354" t="n">
        <v>54</v>
      </c>
      <c r="F354" t="n">
        <v>2.2768</v>
      </c>
      <c r="G354" s="30" t="n">
        <v>0.000471</v>
      </c>
      <c r="H354" s="14" t="n">
        <v>0.9277</v>
      </c>
      <c r="I354" t="n">
        <v>0.386576</v>
      </c>
      <c r="J354" t="n">
        <v>0.0233</v>
      </c>
      <c r="K354" t="n">
        <v>0.042164</v>
      </c>
      <c r="L354" t="n">
        <v>0.9921</v>
      </c>
      <c r="M354" t="n">
        <v>0.5717</v>
      </c>
      <c r="N354" t="n">
        <v>0.5672</v>
      </c>
      <c r="O354" t="inlineStr">
        <is>
          <t>WATCH</t>
        </is>
      </c>
    </row>
    <row r="355">
      <c r="A355" t="n">
        <v>17661711</v>
      </c>
      <c r="B355" t="n">
        <v>354</v>
      </c>
      <c r="C355" t="n">
        <v>5252</v>
      </c>
      <c r="D355" t="n">
        <v>2037</v>
      </c>
      <c r="E355" t="n">
        <v>193</v>
      </c>
      <c r="F355" t="n">
        <v>2.2669</v>
      </c>
      <c r="G355" s="30" t="n">
        <v>0.000469</v>
      </c>
      <c r="H355" s="14" t="n">
        <v>0.9281</v>
      </c>
      <c r="I355" t="n">
        <v>0.387852</v>
      </c>
      <c r="J355" t="n">
        <v>0.09470000000000001</v>
      </c>
      <c r="K355" t="n">
        <v>0.011746</v>
      </c>
      <c r="L355" t="n">
        <v>1.7905</v>
      </c>
      <c r="M355" t="n">
        <v>0.4153</v>
      </c>
      <c r="N355" t="n">
        <v>0.7435</v>
      </c>
      <c r="O355" t="inlineStr">
        <is>
          <t>GROW</t>
        </is>
      </c>
    </row>
    <row r="356">
      <c r="A356" t="n">
        <v>4828354</v>
      </c>
      <c r="B356" t="n">
        <v>355</v>
      </c>
      <c r="C356" t="n">
        <v>7656</v>
      </c>
      <c r="D356" t="n">
        <v>2529</v>
      </c>
      <c r="E356" t="n">
        <v>148</v>
      </c>
      <c r="F356" t="n">
        <v>2.2631</v>
      </c>
      <c r="G356" s="30" t="n">
        <v>0.000469</v>
      </c>
      <c r="H356" s="14" t="n">
        <v>0.9286</v>
      </c>
      <c r="I356" t="n">
        <v>0.330329</v>
      </c>
      <c r="J356" t="n">
        <v>0.0585</v>
      </c>
      <c r="K356" t="n">
        <v>0.015291</v>
      </c>
      <c r="L356" t="n">
        <v>1.1354</v>
      </c>
      <c r="M356" t="n">
        <v>0.494</v>
      </c>
      <c r="N356" t="n">
        <v>0.5609</v>
      </c>
      <c r="O356" t="inlineStr">
        <is>
          <t>GROW</t>
        </is>
      </c>
    </row>
    <row r="357">
      <c r="A357" t="n">
        <v>17710659</v>
      </c>
      <c r="B357" t="n">
        <v>356</v>
      </c>
      <c r="C357" t="n">
        <v>6528</v>
      </c>
      <c r="D357" t="n">
        <v>1890</v>
      </c>
      <c r="E357" t="n">
        <v>873</v>
      </c>
      <c r="F357" t="n">
        <v>2.2623</v>
      </c>
      <c r="G357" s="30" t="n">
        <v>0.000468</v>
      </c>
      <c r="H357" s="14" t="n">
        <v>0.9291</v>
      </c>
      <c r="I357" t="n">
        <v>0.289522</v>
      </c>
      <c r="J357" t="n">
        <v>0.4619</v>
      </c>
      <c r="K357" t="n">
        <v>0.002591</v>
      </c>
      <c r="L357" t="n">
        <v>0.5659999999999999</v>
      </c>
      <c r="M357" t="n">
        <v>0.6676</v>
      </c>
      <c r="N357" t="n">
        <v>0.3778</v>
      </c>
      <c r="O357" t="inlineStr">
        <is>
          <t>GROW</t>
        </is>
      </c>
    </row>
    <row r="358">
      <c r="A358" t="n">
        <v>690012</v>
      </c>
      <c r="B358" t="n">
        <v>357</v>
      </c>
      <c r="C358" t="n">
        <v>17430</v>
      </c>
      <c r="D358" t="n">
        <v>3250</v>
      </c>
      <c r="E358" t="n">
        <v>65</v>
      </c>
      <c r="F358" t="n">
        <v>2.2442</v>
      </c>
      <c r="G358" s="30" t="n">
        <v>0.000465</v>
      </c>
      <c r="H358" s="14" t="n">
        <v>0.9295</v>
      </c>
      <c r="I358" t="n">
        <v>0.18646</v>
      </c>
      <c r="J358" t="n">
        <v>0.02</v>
      </c>
      <c r="K358" t="n">
        <v>0.034525</v>
      </c>
      <c r="L358" t="n">
        <v>1.117</v>
      </c>
      <c r="M358" t="n">
        <v>0.4949</v>
      </c>
      <c r="N358" t="n">
        <v>0.5528</v>
      </c>
      <c r="O358" t="inlineStr">
        <is>
          <t>WATCH</t>
        </is>
      </c>
    </row>
    <row r="359">
      <c r="A359" t="n">
        <v>5781045</v>
      </c>
      <c r="B359" t="n">
        <v>358</v>
      </c>
      <c r="C359" t="n">
        <v>3770</v>
      </c>
      <c r="D359" t="n">
        <v>1588</v>
      </c>
      <c r="E359" t="n">
        <v>51</v>
      </c>
      <c r="F359" t="n">
        <v>2.2408</v>
      </c>
      <c r="G359" s="30" t="n">
        <v>0.000464</v>
      </c>
      <c r="H359" s="14" t="n">
        <v>0.93</v>
      </c>
      <c r="I359" t="n">
        <v>0.42122</v>
      </c>
      <c r="J359" t="n">
        <v>0.0321</v>
      </c>
      <c r="K359" t="n">
        <v>0.043938</v>
      </c>
      <c r="L359" t="n">
        <v>0.8955</v>
      </c>
      <c r="M359" t="n">
        <v>0.5733</v>
      </c>
      <c r="N359" t="n">
        <v>0.5134</v>
      </c>
      <c r="O359" t="inlineStr">
        <is>
          <t>WATCH</t>
        </is>
      </c>
    </row>
    <row r="360">
      <c r="A360" t="n">
        <v>26614035</v>
      </c>
      <c r="B360" t="n">
        <v>359</v>
      </c>
      <c r="C360" t="n">
        <v>5144</v>
      </c>
      <c r="D360" t="n">
        <v>1675</v>
      </c>
      <c r="E360" t="n">
        <v>42</v>
      </c>
      <c r="F360" t="n">
        <v>2.233</v>
      </c>
      <c r="G360" s="30" t="n">
        <v>0.000462</v>
      </c>
      <c r="H360" s="14" t="n">
        <v>0.9305</v>
      </c>
      <c r="I360" t="n">
        <v>0.325622</v>
      </c>
      <c r="J360" t="n">
        <v>0.0251</v>
      </c>
      <c r="K360" t="n">
        <v>0.053167</v>
      </c>
      <c r="L360" t="n">
        <v>0.7869</v>
      </c>
      <c r="M360" t="n">
        <v>0.5252</v>
      </c>
      <c r="N360" t="n">
        <v>0.4133</v>
      </c>
      <c r="O360" t="inlineStr">
        <is>
          <t>WATCH</t>
        </is>
      </c>
    </row>
    <row r="361">
      <c r="A361" t="n">
        <v>26372320</v>
      </c>
      <c r="B361" t="n">
        <v>360</v>
      </c>
      <c r="C361" t="n">
        <v>5264</v>
      </c>
      <c r="D361" t="n">
        <v>1925</v>
      </c>
      <c r="E361" t="n">
        <v>394</v>
      </c>
      <c r="F361" t="n">
        <v>2.2328</v>
      </c>
      <c r="G361" s="30" t="n">
        <v>0.000462</v>
      </c>
      <c r="H361" s="14" t="n">
        <v>0.9308999999999999</v>
      </c>
      <c r="I361" t="n">
        <v>0.365691</v>
      </c>
      <c r="J361" t="n">
        <v>0.2047</v>
      </c>
      <c r="K361" t="n">
        <v>0.005667</v>
      </c>
      <c r="L361" t="n">
        <v>0.7239</v>
      </c>
      <c r="M361" t="n">
        <v>0.6339</v>
      </c>
      <c r="N361" t="n">
        <v>0.4588</v>
      </c>
      <c r="O361" t="inlineStr">
        <is>
          <t>GROW</t>
        </is>
      </c>
    </row>
    <row r="362">
      <c r="A362" t="n">
        <v>13466843</v>
      </c>
      <c r="B362" t="n">
        <v>361</v>
      </c>
      <c r="C362" t="n">
        <v>5367</v>
      </c>
      <c r="D362" t="n">
        <v>2023</v>
      </c>
      <c r="E362" t="n">
        <v>29</v>
      </c>
      <c r="F362" t="n">
        <v>2.2281</v>
      </c>
      <c r="G362" s="30" t="n">
        <v>0.000461</v>
      </c>
      <c r="H362" s="14" t="n">
        <v>0.9314</v>
      </c>
      <c r="I362" t="n">
        <v>0.376933</v>
      </c>
      <c r="J362" t="n">
        <v>0.0143</v>
      </c>
      <c r="K362" t="n">
        <v>0.07683</v>
      </c>
      <c r="L362" t="n">
        <v>1.5973</v>
      </c>
      <c r="M362" t="n">
        <v>0.4232</v>
      </c>
      <c r="N362" t="n">
        <v>0.6761</v>
      </c>
      <c r="O362" t="inlineStr">
        <is>
          <t>WATCH</t>
        </is>
      </c>
    </row>
    <row r="363">
      <c r="A363" t="n">
        <v>4800911</v>
      </c>
      <c r="B363" t="n">
        <v>362</v>
      </c>
      <c r="C363" t="n">
        <v>18333</v>
      </c>
      <c r="D363" t="n">
        <v>7842</v>
      </c>
      <c r="E363" t="n">
        <v>146</v>
      </c>
      <c r="F363" t="n">
        <v>2.2197</v>
      </c>
      <c r="G363" s="30" t="n">
        <v>0.00046</v>
      </c>
      <c r="H363" s="14" t="n">
        <v>0.9318</v>
      </c>
      <c r="I363" t="n">
        <v>0.427753</v>
      </c>
      <c r="J363" t="n">
        <v>0.0186</v>
      </c>
      <c r="K363" t="n">
        <v>0.015203</v>
      </c>
      <c r="L363" t="n">
        <v>4.1684</v>
      </c>
      <c r="M363" t="n">
        <v>0.1447</v>
      </c>
      <c r="N363" t="n">
        <v>0.6032999999999999</v>
      </c>
      <c r="O363" t="inlineStr">
        <is>
          <t>GROW</t>
        </is>
      </c>
    </row>
    <row r="364">
      <c r="A364" t="n">
        <v>497590</v>
      </c>
      <c r="B364" t="n">
        <v>363</v>
      </c>
      <c r="C364" t="n">
        <v>27802</v>
      </c>
      <c r="D364" t="n">
        <v>8837</v>
      </c>
      <c r="E364" t="n">
        <v>503</v>
      </c>
      <c r="F364" t="n">
        <v>2.2116</v>
      </c>
      <c r="G364" s="30" t="n">
        <v>0.000458</v>
      </c>
      <c r="H364" s="14" t="n">
        <v>0.9323</v>
      </c>
      <c r="I364" t="n">
        <v>0.317855</v>
      </c>
      <c r="J364" t="n">
        <v>0.0569</v>
      </c>
      <c r="K364" t="n">
        <v>0.004397</v>
      </c>
      <c r="L364" t="n">
        <v>0.2135</v>
      </c>
      <c r="M364" t="n">
        <v>0.5931999999999999</v>
      </c>
      <c r="N364" t="n">
        <v>0.1267</v>
      </c>
      <c r="O364" t="inlineStr">
        <is>
          <t>GROW</t>
        </is>
      </c>
    </row>
    <row r="365">
      <c r="A365" t="n">
        <v>5177431</v>
      </c>
      <c r="B365" t="n">
        <v>364</v>
      </c>
      <c r="C365" t="n">
        <v>17900</v>
      </c>
      <c r="D365" t="n">
        <v>4989</v>
      </c>
      <c r="E365" t="n">
        <v>90</v>
      </c>
      <c r="F365" t="n">
        <v>2.1706</v>
      </c>
      <c r="G365" s="30" t="n">
        <v>0.000449</v>
      </c>
      <c r="H365" s="14" t="n">
        <v>0.9327</v>
      </c>
      <c r="I365" t="n">
        <v>0.278715</v>
      </c>
      <c r="J365" t="n">
        <v>0.018</v>
      </c>
      <c r="K365" t="n">
        <v>0.024118</v>
      </c>
      <c r="L365" t="n">
        <v>1.3187</v>
      </c>
      <c r="M365" t="n">
        <v>0.404</v>
      </c>
      <c r="N365" t="n">
        <v>0.5328000000000001</v>
      </c>
      <c r="O365" t="inlineStr">
        <is>
          <t>WATCH</t>
        </is>
      </c>
    </row>
    <row r="366">
      <c r="A366" t="n">
        <v>4913658</v>
      </c>
      <c r="B366" t="n">
        <v>365</v>
      </c>
      <c r="C366" t="n">
        <v>11225</v>
      </c>
      <c r="D366" t="n">
        <v>3938</v>
      </c>
      <c r="E366" t="n">
        <v>321</v>
      </c>
      <c r="F366" t="n">
        <v>2.169</v>
      </c>
      <c r="G366" s="30" t="n">
        <v>0.000449</v>
      </c>
      <c r="H366" s="14" t="n">
        <v>0.9332</v>
      </c>
      <c r="I366" t="n">
        <v>0.350824</v>
      </c>
      <c r="J366" t="n">
        <v>0.0815</v>
      </c>
      <c r="K366" t="n">
        <v>0.006757</v>
      </c>
      <c r="L366" t="n">
        <v>0.4974</v>
      </c>
      <c r="M366" t="n">
        <v>0.8161</v>
      </c>
      <c r="N366" t="n">
        <v>0.4059</v>
      </c>
      <c r="O366" t="inlineStr">
        <is>
          <t>GROW</t>
        </is>
      </c>
    </row>
    <row r="367">
      <c r="A367" t="n">
        <v>6336377</v>
      </c>
      <c r="B367" t="n">
        <v>366</v>
      </c>
      <c r="C367" t="n">
        <v>11017</v>
      </c>
      <c r="D367" t="n">
        <v>3974</v>
      </c>
      <c r="E367" t="n">
        <v>39</v>
      </c>
      <c r="F367" t="n">
        <v>2.1488</v>
      </c>
      <c r="G367" s="30" t="n">
        <v>0.000445</v>
      </c>
      <c r="H367" s="14" t="n">
        <v>0.9336</v>
      </c>
      <c r="I367" t="n">
        <v>0.360715</v>
      </c>
      <c r="J367" t="n">
        <v>0.0098</v>
      </c>
      <c r="K367" t="n">
        <v>0.055097</v>
      </c>
      <c r="L367" t="n">
        <v>0.7667</v>
      </c>
      <c r="M367" t="n">
        <v>0.5848</v>
      </c>
      <c r="N367" t="n">
        <v>0.4484</v>
      </c>
      <c r="O367" t="inlineStr">
        <is>
          <t>WATCH</t>
        </is>
      </c>
    </row>
    <row r="368">
      <c r="A368" t="n">
        <v>289466</v>
      </c>
      <c r="B368" t="n">
        <v>367</v>
      </c>
      <c r="C368" t="n">
        <v>9196</v>
      </c>
      <c r="D368" t="n">
        <v>3030</v>
      </c>
      <c r="E368" t="n">
        <v>60</v>
      </c>
      <c r="F368" t="n">
        <v>2.1431</v>
      </c>
      <c r="G368" s="30" t="n">
        <v>0.000444</v>
      </c>
      <c r="H368" s="14" t="n">
        <v>0.9341</v>
      </c>
      <c r="I368" t="n">
        <v>0.329491</v>
      </c>
      <c r="J368" t="n">
        <v>0.0198</v>
      </c>
      <c r="K368" t="n">
        <v>0.035718</v>
      </c>
      <c r="L368" t="n">
        <v>13.3411</v>
      </c>
      <c r="M368" t="n">
        <v>0.09320000000000001</v>
      </c>
      <c r="N368" t="n">
        <v>1.2438</v>
      </c>
      <c r="O368" t="inlineStr">
        <is>
          <t>WATCH</t>
        </is>
      </c>
    </row>
    <row r="369">
      <c r="A369" t="n">
        <v>29175063</v>
      </c>
      <c r="B369" t="n">
        <v>368</v>
      </c>
      <c r="C369" t="n">
        <v>13020</v>
      </c>
      <c r="D369" t="n">
        <v>4208</v>
      </c>
      <c r="E369" t="n">
        <v>27</v>
      </c>
      <c r="F369" t="n">
        <v>2.1335</v>
      </c>
      <c r="G369" s="30" t="n">
        <v>0.000442</v>
      </c>
      <c r="H369" s="14" t="n">
        <v>0.9345</v>
      </c>
      <c r="I369" t="n">
        <v>0.323195</v>
      </c>
      <c r="J369" t="n">
        <v>0.0064</v>
      </c>
      <c r="K369" t="n">
        <v>0.079018</v>
      </c>
      <c r="L369" t="n">
        <v>0.7478</v>
      </c>
      <c r="M369" t="n">
        <v>0.6042999999999999</v>
      </c>
      <c r="N369" t="n">
        <v>0.4519</v>
      </c>
      <c r="O369" t="inlineStr">
        <is>
          <t>WATCH</t>
        </is>
      </c>
    </row>
    <row r="370">
      <c r="A370" t="n">
        <v>946549</v>
      </c>
      <c r="B370" t="n">
        <v>369</v>
      </c>
      <c r="C370" t="n">
        <v>14323</v>
      </c>
      <c r="D370" t="n">
        <v>4168</v>
      </c>
      <c r="E370" t="n">
        <v>126</v>
      </c>
      <c r="F370" t="n">
        <v>2.1131</v>
      </c>
      <c r="G370" s="30" t="n">
        <v>0.000438</v>
      </c>
      <c r="H370" s="14" t="n">
        <v>0.9350000000000001</v>
      </c>
      <c r="I370" t="n">
        <v>0.291</v>
      </c>
      <c r="J370" t="n">
        <v>0.0302</v>
      </c>
      <c r="K370" t="n">
        <v>0.016771</v>
      </c>
      <c r="L370" t="n">
        <v>0.2915</v>
      </c>
      <c r="M370" t="n">
        <v>1.119</v>
      </c>
      <c r="N370" t="n">
        <v>0.3262</v>
      </c>
      <c r="O370" t="inlineStr">
        <is>
          <t>GROW</t>
        </is>
      </c>
    </row>
    <row r="371">
      <c r="A371" t="n">
        <v>29874688</v>
      </c>
      <c r="B371" t="n">
        <v>370</v>
      </c>
      <c r="C371" t="n">
        <v>5727</v>
      </c>
      <c r="D371" t="n">
        <v>2001</v>
      </c>
      <c r="E371" t="n">
        <v>61</v>
      </c>
      <c r="F371" t="n">
        <v>2.1096</v>
      </c>
      <c r="G371" s="30" t="n">
        <v>0.000437</v>
      </c>
      <c r="H371" s="14" t="n">
        <v>0.9354</v>
      </c>
      <c r="I371" t="n">
        <v>0.349398</v>
      </c>
      <c r="J371" t="n">
        <v>0.0305</v>
      </c>
      <c r="K371" t="n">
        <v>0.034584</v>
      </c>
      <c r="L371" t="n">
        <v>1.7353</v>
      </c>
      <c r="M371" t="n">
        <v>0.3211</v>
      </c>
      <c r="N371" t="n">
        <v>0.5572</v>
      </c>
      <c r="O371" t="inlineStr">
        <is>
          <t>WATCH</t>
        </is>
      </c>
    </row>
    <row r="372">
      <c r="A372" t="n">
        <v>1632451</v>
      </c>
      <c r="B372" t="n">
        <v>371</v>
      </c>
      <c r="C372" t="n">
        <v>4179</v>
      </c>
      <c r="D372" t="n">
        <v>1382</v>
      </c>
      <c r="E372" t="n">
        <v>22</v>
      </c>
      <c r="F372" t="n">
        <v>2.1048</v>
      </c>
      <c r="G372" s="30" t="n">
        <v>0.000436</v>
      </c>
      <c r="H372" s="14" t="n">
        <v>0.9358</v>
      </c>
      <c r="I372" t="n">
        <v>0.330701</v>
      </c>
      <c r="J372" t="n">
        <v>0.0159</v>
      </c>
      <c r="K372" t="n">
        <v>0.09567199999999999</v>
      </c>
      <c r="L372" t="n">
        <v>1.071</v>
      </c>
      <c r="M372" t="n">
        <v>0.5076000000000001</v>
      </c>
      <c r="N372" t="n">
        <v>0.5437</v>
      </c>
      <c r="O372" t="inlineStr">
        <is>
          <t>WATCH</t>
        </is>
      </c>
    </row>
    <row r="373">
      <c r="A373" t="n">
        <v>13576416</v>
      </c>
      <c r="B373" t="n">
        <v>372</v>
      </c>
      <c r="C373" t="n">
        <v>4363</v>
      </c>
      <c r="D373" t="n">
        <v>1862</v>
      </c>
      <c r="E373" t="n">
        <v>60</v>
      </c>
      <c r="F373" t="n">
        <v>2.1047</v>
      </c>
      <c r="G373" s="30" t="n">
        <v>0.000436</v>
      </c>
      <c r="H373" s="14" t="n">
        <v>0.9363</v>
      </c>
      <c r="I373" t="n">
        <v>0.426771</v>
      </c>
      <c r="J373" t="n">
        <v>0.0322</v>
      </c>
      <c r="K373" t="n">
        <v>0.035078</v>
      </c>
      <c r="L373" t="n">
        <v>1.0342</v>
      </c>
      <c r="M373" t="n">
        <v>0.5085</v>
      </c>
      <c r="N373" t="n">
        <v>0.5259</v>
      </c>
      <c r="O373" t="inlineStr">
        <is>
          <t>WATCH</t>
        </is>
      </c>
    </row>
    <row r="374">
      <c r="A374" t="n">
        <v>3788051</v>
      </c>
      <c r="B374" t="n">
        <v>373</v>
      </c>
      <c r="C374" t="n">
        <v>6351</v>
      </c>
      <c r="D374" t="n">
        <v>1395</v>
      </c>
      <c r="E374" t="n">
        <v>132</v>
      </c>
      <c r="F374" t="n">
        <v>2.0998</v>
      </c>
      <c r="G374" s="30" t="n">
        <v>0.000435</v>
      </c>
      <c r="H374" s="14" t="n">
        <v>0.9367</v>
      </c>
      <c r="I374" t="n">
        <v>0.21965</v>
      </c>
      <c r="J374" t="n">
        <v>0.0946</v>
      </c>
      <c r="K374" t="n">
        <v>0.015908</v>
      </c>
      <c r="L374" t="n">
        <v>0.6995</v>
      </c>
      <c r="M374" t="n">
        <v>0.6793</v>
      </c>
      <c r="N374" t="n">
        <v>0.4752</v>
      </c>
      <c r="O374" t="inlineStr">
        <is>
          <t>GROW</t>
        </is>
      </c>
    </row>
    <row r="375">
      <c r="A375" t="n">
        <v>13458071</v>
      </c>
      <c r="B375" t="n">
        <v>374</v>
      </c>
      <c r="C375" t="n">
        <v>7826</v>
      </c>
      <c r="D375" t="n">
        <v>2307</v>
      </c>
      <c r="E375" t="n">
        <v>20</v>
      </c>
      <c r="F375" t="n">
        <v>2.0951</v>
      </c>
      <c r="G375" s="30" t="n">
        <v>0.000434</v>
      </c>
      <c r="H375" s="14" t="n">
        <v>0.9371</v>
      </c>
      <c r="I375" t="n">
        <v>0.294787</v>
      </c>
      <c r="J375" t="n">
        <v>0.008699999999999999</v>
      </c>
      <c r="K375" t="n">
        <v>0.104755</v>
      </c>
      <c r="L375" t="n">
        <v>1.1468</v>
      </c>
      <c r="M375" t="n">
        <v>0.4726</v>
      </c>
      <c r="N375" t="n">
        <v>0.542</v>
      </c>
      <c r="O375" t="inlineStr">
        <is>
          <t>WATCH</t>
        </is>
      </c>
    </row>
    <row r="376">
      <c r="A376" t="n">
        <v>7336375</v>
      </c>
      <c r="B376" t="n">
        <v>375</v>
      </c>
      <c r="C376" t="n">
        <v>6839</v>
      </c>
      <c r="D376" t="n">
        <v>2390</v>
      </c>
      <c r="E376" t="n">
        <v>242</v>
      </c>
      <c r="F376" t="n">
        <v>2.0615</v>
      </c>
      <c r="G376" s="30" t="n">
        <v>0.000427</v>
      </c>
      <c r="H376" s="14" t="n">
        <v>0.9376</v>
      </c>
      <c r="I376" t="n">
        <v>0.349466</v>
      </c>
      <c r="J376" t="n">
        <v>0.1013</v>
      </c>
      <c r="K376" t="n">
        <v>0.008518</v>
      </c>
      <c r="L376" t="n">
        <v>0.9648</v>
      </c>
      <c r="M376" t="n">
        <v>0.5077</v>
      </c>
      <c r="N376" t="n">
        <v>0.4898</v>
      </c>
      <c r="O376" t="inlineStr">
        <is>
          <t>GROW</t>
        </is>
      </c>
    </row>
    <row r="377">
      <c r="A377" t="n">
        <v>23695013</v>
      </c>
      <c r="B377" t="n">
        <v>376</v>
      </c>
      <c r="C377" t="n">
        <v>13902</v>
      </c>
      <c r="D377" t="n">
        <v>3940</v>
      </c>
      <c r="E377" t="n">
        <v>42</v>
      </c>
      <c r="F377" t="n">
        <v>2.059</v>
      </c>
      <c r="G377" s="30" t="n">
        <v>0.000426</v>
      </c>
      <c r="H377" s="14" t="n">
        <v>0.9379999999999999</v>
      </c>
      <c r="I377" t="n">
        <v>0.283412</v>
      </c>
      <c r="J377" t="n">
        <v>0.0107</v>
      </c>
      <c r="K377" t="n">
        <v>0.049023</v>
      </c>
      <c r="L377" t="n">
        <v>1.145</v>
      </c>
      <c r="M377" t="n">
        <v>0.4236</v>
      </c>
      <c r="N377" t="n">
        <v>0.4851</v>
      </c>
      <c r="O377" t="inlineStr">
        <is>
          <t>WATCH</t>
        </is>
      </c>
    </row>
    <row r="378">
      <c r="A378" t="n">
        <v>14106399</v>
      </c>
      <c r="B378" t="n">
        <v>377</v>
      </c>
      <c r="C378" t="n">
        <v>5346</v>
      </c>
      <c r="D378" t="n">
        <v>1638</v>
      </c>
      <c r="E378" t="n">
        <v>584</v>
      </c>
      <c r="F378" t="n">
        <v>2.0421</v>
      </c>
      <c r="G378" s="30" t="n">
        <v>0.000423</v>
      </c>
      <c r="H378" s="14" t="n">
        <v>0.9384</v>
      </c>
      <c r="I378" t="n">
        <v>0.306397</v>
      </c>
      <c r="J378" t="n">
        <v>0.3565</v>
      </c>
      <c r="K378" t="n">
        <v>0.003497</v>
      </c>
      <c r="L378" t="n">
        <v>0.8933</v>
      </c>
      <c r="M378" t="n">
        <v>0.487</v>
      </c>
      <c r="N378" t="n">
        <v>0.435</v>
      </c>
      <c r="O378" t="inlineStr">
        <is>
          <t>GROW</t>
        </is>
      </c>
    </row>
    <row r="379">
      <c r="A379" t="n">
        <v>18443077</v>
      </c>
      <c r="B379" t="n">
        <v>378</v>
      </c>
      <c r="C379" t="n">
        <v>16784</v>
      </c>
      <c r="D379" t="n">
        <v>5556</v>
      </c>
      <c r="E379" t="n">
        <v>67</v>
      </c>
      <c r="F379" t="n">
        <v>2.0405</v>
      </c>
      <c r="G379" s="30" t="n">
        <v>0.000423</v>
      </c>
      <c r="H379" s="14" t="n">
        <v>0.9388</v>
      </c>
      <c r="I379" t="n">
        <v>0.33103</v>
      </c>
      <c r="J379" t="n">
        <v>0.0121</v>
      </c>
      <c r="K379" t="n">
        <v>0.030455</v>
      </c>
      <c r="L379" t="n">
        <v>0.1241</v>
      </c>
      <c r="M379" t="n">
        <v>0.8743</v>
      </c>
      <c r="N379" t="n">
        <v>0.1085</v>
      </c>
      <c r="O379" t="inlineStr">
        <is>
          <t>WATCH</t>
        </is>
      </c>
    </row>
    <row r="380">
      <c r="A380" t="n">
        <v>7845418</v>
      </c>
      <c r="B380" t="n">
        <v>379</v>
      </c>
      <c r="C380" t="n">
        <v>5511</v>
      </c>
      <c r="D380" t="n">
        <v>3072</v>
      </c>
      <c r="E380" t="n">
        <v>44</v>
      </c>
      <c r="F380" t="n">
        <v>2.0167</v>
      </c>
      <c r="G380" s="30" t="n">
        <v>0.000418</v>
      </c>
      <c r="H380" s="14" t="n">
        <v>0.9393</v>
      </c>
      <c r="I380" t="n">
        <v>0.557431</v>
      </c>
      <c r="J380" t="n">
        <v>0.0143</v>
      </c>
      <c r="K380" t="n">
        <v>0.045835</v>
      </c>
      <c r="L380" t="n">
        <v>0.899</v>
      </c>
      <c r="M380" t="n">
        <v>0.4109</v>
      </c>
      <c r="N380" t="n">
        <v>0.3694</v>
      </c>
      <c r="O380" t="inlineStr">
        <is>
          <t>WATCH</t>
        </is>
      </c>
    </row>
    <row r="381">
      <c r="A381" t="n">
        <v>28864844</v>
      </c>
      <c r="B381" t="n">
        <v>380</v>
      </c>
      <c r="C381" t="n">
        <v>4100</v>
      </c>
      <c r="D381" t="n">
        <v>1369</v>
      </c>
      <c r="E381" t="n">
        <v>165</v>
      </c>
      <c r="F381" t="n">
        <v>1.9839</v>
      </c>
      <c r="G381" s="30" t="n">
        <v>0.000411</v>
      </c>
      <c r="H381" s="14" t="n">
        <v>0.9397</v>
      </c>
      <c r="I381" t="n">
        <v>0.333902</v>
      </c>
      <c r="J381" t="n">
        <v>0.1205</v>
      </c>
      <c r="K381" t="n">
        <v>0.012024</v>
      </c>
      <c r="L381" t="n">
        <v>1.3594</v>
      </c>
      <c r="M381" t="n">
        <v>0.3544</v>
      </c>
      <c r="N381" t="n">
        <v>0.4818</v>
      </c>
      <c r="O381" t="inlineStr">
        <is>
          <t>GROW</t>
        </is>
      </c>
    </row>
    <row r="382">
      <c r="A382" t="n">
        <v>30471712</v>
      </c>
      <c r="B382" t="n">
        <v>381</v>
      </c>
      <c r="C382" t="n">
        <v>6690</v>
      </c>
      <c r="D382" t="n">
        <v>3561</v>
      </c>
      <c r="E382" t="n">
        <v>88</v>
      </c>
      <c r="F382" t="n">
        <v>1.9826</v>
      </c>
      <c r="G382" s="30" t="n">
        <v>0.000411</v>
      </c>
      <c r="H382" s="14" t="n">
        <v>0.9401</v>
      </c>
      <c r="I382" t="n">
        <v>0.532287</v>
      </c>
      <c r="J382" t="n">
        <v>0.0247</v>
      </c>
      <c r="K382" t="n">
        <v>0.02253</v>
      </c>
      <c r="L382" t="n">
        <v>0.9645</v>
      </c>
      <c r="M382" t="n">
        <v>0.4342</v>
      </c>
      <c r="N382" t="n">
        <v>0.4188</v>
      </c>
      <c r="O382" t="inlineStr">
        <is>
          <t>WATCH</t>
        </is>
      </c>
    </row>
    <row r="383">
      <c r="A383" t="n">
        <v>31265168</v>
      </c>
      <c r="B383" t="n">
        <v>382</v>
      </c>
      <c r="C383" t="n">
        <v>8359</v>
      </c>
      <c r="D383" t="n">
        <v>1459</v>
      </c>
      <c r="E383" t="n">
        <v>67</v>
      </c>
      <c r="F383" t="n">
        <v>1.9739</v>
      </c>
      <c r="G383" s="30" t="n">
        <v>0.000409</v>
      </c>
      <c r="H383" s="14" t="n">
        <v>0.9405</v>
      </c>
      <c r="I383" t="n">
        <v>0.174542</v>
      </c>
      <c r="J383" t="n">
        <v>0.0459</v>
      </c>
      <c r="K383" t="n">
        <v>0.029462</v>
      </c>
      <c r="L383" t="n">
        <v>1.0367</v>
      </c>
      <c r="M383" t="n">
        <v>0.4888</v>
      </c>
      <c r="N383" t="n">
        <v>0.5067</v>
      </c>
      <c r="O383" t="inlineStr">
        <is>
          <t>WATCH</t>
        </is>
      </c>
    </row>
    <row r="384">
      <c r="A384" t="n">
        <v>21016759</v>
      </c>
      <c r="B384" t="n">
        <v>383</v>
      </c>
      <c r="C384" t="n">
        <v>17174</v>
      </c>
      <c r="D384" t="n">
        <v>6196</v>
      </c>
      <c r="E384" t="n">
        <v>189</v>
      </c>
      <c r="F384" t="n">
        <v>1.9737</v>
      </c>
      <c r="G384" s="30" t="n">
        <v>0.000409</v>
      </c>
      <c r="H384" s="14" t="n">
        <v>0.9409</v>
      </c>
      <c r="I384" t="n">
        <v>0.360778</v>
      </c>
      <c r="J384" t="n">
        <v>0.0305</v>
      </c>
      <c r="K384" t="n">
        <v>0.010443</v>
      </c>
      <c r="L384" t="n">
        <v>1.011</v>
      </c>
      <c r="M384" t="n">
        <v>0.465</v>
      </c>
      <c r="N384" t="n">
        <v>0.4701</v>
      </c>
      <c r="O384" t="inlineStr">
        <is>
          <t>GROW</t>
        </is>
      </c>
    </row>
    <row r="385">
      <c r="A385" t="n">
        <v>22723823</v>
      </c>
      <c r="B385" t="n">
        <v>384</v>
      </c>
      <c r="C385" t="n">
        <v>15298</v>
      </c>
      <c r="D385" t="n">
        <v>5858</v>
      </c>
      <c r="E385" t="n">
        <v>116</v>
      </c>
      <c r="F385" t="n">
        <v>1.9733</v>
      </c>
      <c r="G385" s="30" t="n">
        <v>0.000409</v>
      </c>
      <c r="H385" s="14" t="n">
        <v>0.9413</v>
      </c>
      <c r="I385" t="n">
        <v>0.382926</v>
      </c>
      <c r="J385" t="n">
        <v>0.0198</v>
      </c>
      <c r="K385" t="n">
        <v>0.017011</v>
      </c>
      <c r="L385" t="n">
        <v>1.2201</v>
      </c>
      <c r="M385" t="n">
        <v>0.3871</v>
      </c>
      <c r="N385" t="n">
        <v>0.4723</v>
      </c>
      <c r="O385" t="inlineStr">
        <is>
          <t>GROW</t>
        </is>
      </c>
    </row>
    <row r="386">
      <c r="A386" t="n">
        <v>12321091</v>
      </c>
      <c r="B386" t="n">
        <v>385</v>
      </c>
      <c r="C386" t="n">
        <v>7088</v>
      </c>
      <c r="D386" t="n">
        <v>2188</v>
      </c>
      <c r="E386" t="n">
        <v>98</v>
      </c>
      <c r="F386" t="n">
        <v>1.9711</v>
      </c>
      <c r="G386" s="30" t="n">
        <v>0.000408</v>
      </c>
      <c r="H386" s="14" t="n">
        <v>0.9417</v>
      </c>
      <c r="I386" t="n">
        <v>0.308691</v>
      </c>
      <c r="J386" t="n">
        <v>0.0448</v>
      </c>
      <c r="K386" t="n">
        <v>0.020113</v>
      </c>
      <c r="L386" t="n">
        <v>1.5185</v>
      </c>
      <c r="M386" t="n">
        <v>0.3957</v>
      </c>
      <c r="N386" t="n">
        <v>0.6008</v>
      </c>
      <c r="O386" t="inlineStr">
        <is>
          <t>WATCH</t>
        </is>
      </c>
    </row>
    <row r="387">
      <c r="A387" t="n">
        <v>14891867</v>
      </c>
      <c r="B387" t="n">
        <v>386</v>
      </c>
      <c r="C387" t="n">
        <v>4189</v>
      </c>
      <c r="D387" t="n">
        <v>1472</v>
      </c>
      <c r="E387" t="n">
        <v>140</v>
      </c>
      <c r="F387" t="n">
        <v>1.9434</v>
      </c>
      <c r="G387" s="30" t="n">
        <v>0.000402</v>
      </c>
      <c r="H387" s="14" t="n">
        <v>0.9421</v>
      </c>
      <c r="I387" t="n">
        <v>0.351397</v>
      </c>
      <c r="J387" t="n">
        <v>0.0951</v>
      </c>
      <c r="K387" t="n">
        <v>0.013881</v>
      </c>
      <c r="L387" t="n">
        <v>0.8290999999999999</v>
      </c>
      <c r="M387" t="n">
        <v>0.464</v>
      </c>
      <c r="N387" t="n">
        <v>0.3847</v>
      </c>
      <c r="O387" t="inlineStr">
        <is>
          <t>GROW</t>
        </is>
      </c>
    </row>
    <row r="388">
      <c r="A388" t="n">
        <v>11843320</v>
      </c>
      <c r="B388" t="n">
        <v>387</v>
      </c>
      <c r="C388" t="n">
        <v>18463</v>
      </c>
      <c r="D388" t="n">
        <v>4899</v>
      </c>
      <c r="E388" t="n">
        <v>39</v>
      </c>
      <c r="F388" t="n">
        <v>1.9265</v>
      </c>
      <c r="G388" s="30" t="n">
        <v>0.000399</v>
      </c>
      <c r="H388" s="14" t="n">
        <v>0.9425</v>
      </c>
      <c r="I388" t="n">
        <v>0.265341</v>
      </c>
      <c r="J388" t="n">
        <v>0.008</v>
      </c>
      <c r="K388" t="n">
        <v>0.049398</v>
      </c>
      <c r="L388" t="n">
        <v>0.524</v>
      </c>
      <c r="M388" t="n">
        <v>0.4906</v>
      </c>
      <c r="N388" t="n">
        <v>0.2571</v>
      </c>
      <c r="O388" t="inlineStr">
        <is>
          <t>WATCH</t>
        </is>
      </c>
    </row>
    <row r="389">
      <c r="A389" t="n">
        <v>2077112</v>
      </c>
      <c r="B389" t="n">
        <v>388</v>
      </c>
      <c r="C389" t="n">
        <v>8596</v>
      </c>
      <c r="D389" t="n">
        <v>2516</v>
      </c>
      <c r="E389" t="n">
        <v>11</v>
      </c>
      <c r="F389" t="n">
        <v>1.9262</v>
      </c>
      <c r="G389" s="30" t="n">
        <v>0.000399</v>
      </c>
      <c r="H389" s="14" t="n">
        <v>0.9429</v>
      </c>
      <c r="I389" t="n">
        <v>0.292694</v>
      </c>
      <c r="J389" t="n">
        <v>0.0044</v>
      </c>
      <c r="K389" t="n">
        <v>0.17511</v>
      </c>
      <c r="L389" t="n">
        <v>3.9109</v>
      </c>
      <c r="M389" t="n">
        <v>0.09329999999999999</v>
      </c>
      <c r="N389" t="n">
        <v>0.3648</v>
      </c>
      <c r="O389" t="inlineStr">
        <is>
          <t>WATCH</t>
        </is>
      </c>
    </row>
    <row r="390">
      <c r="A390" t="n">
        <v>7828337</v>
      </c>
      <c r="B390" t="n">
        <v>389</v>
      </c>
      <c r="C390" t="n">
        <v>3715</v>
      </c>
      <c r="D390" t="n">
        <v>1283</v>
      </c>
      <c r="E390" t="n">
        <v>127</v>
      </c>
      <c r="F390" t="n">
        <v>1.9243</v>
      </c>
      <c r="G390" s="30" t="n">
        <v>0.000398</v>
      </c>
      <c r="H390" s="14" t="n">
        <v>0.9433</v>
      </c>
      <c r="I390" t="n">
        <v>0.345357</v>
      </c>
      <c r="J390" t="n">
        <v>0.099</v>
      </c>
      <c r="K390" t="n">
        <v>0.015152</v>
      </c>
      <c r="L390" t="n">
        <v>1.7051</v>
      </c>
      <c r="M390" t="n">
        <v>0.2703</v>
      </c>
      <c r="N390" t="n">
        <v>0.4609</v>
      </c>
      <c r="O390" t="inlineStr">
        <is>
          <t>GROW</t>
        </is>
      </c>
    </row>
    <row r="391">
      <c r="A391" t="n">
        <v>3828360</v>
      </c>
      <c r="B391" t="n">
        <v>390</v>
      </c>
      <c r="C391" t="n">
        <v>8613</v>
      </c>
      <c r="D391" t="n">
        <v>2559</v>
      </c>
      <c r="E391" t="n">
        <v>363</v>
      </c>
      <c r="F391" t="n">
        <v>1.9221</v>
      </c>
      <c r="G391" s="30" t="n">
        <v>0.000398</v>
      </c>
      <c r="H391" s="14" t="n">
        <v>0.9437</v>
      </c>
      <c r="I391" t="n">
        <v>0.297109</v>
      </c>
      <c r="J391" t="n">
        <v>0.1419</v>
      </c>
      <c r="K391" t="n">
        <v>0.005295</v>
      </c>
      <c r="L391" t="n">
        <v>1.3375</v>
      </c>
      <c r="M391" t="n">
        <v>0.3838</v>
      </c>
      <c r="N391" t="n">
        <v>0.5134</v>
      </c>
      <c r="O391" t="inlineStr">
        <is>
          <t>GROW</t>
        </is>
      </c>
    </row>
    <row r="392">
      <c r="A392" t="n">
        <v>21765872</v>
      </c>
      <c r="B392" t="n">
        <v>391</v>
      </c>
      <c r="C392" t="n">
        <v>12261</v>
      </c>
      <c r="D392" t="n">
        <v>4668</v>
      </c>
      <c r="E392" t="n">
        <v>96</v>
      </c>
      <c r="F392" t="n">
        <v>1.911</v>
      </c>
      <c r="G392" s="30" t="n">
        <v>0.000396</v>
      </c>
      <c r="H392" s="14" t="n">
        <v>0.9441000000000001</v>
      </c>
      <c r="I392" t="n">
        <v>0.380719</v>
      </c>
      <c r="J392" t="n">
        <v>0.0206</v>
      </c>
      <c r="K392" t="n">
        <v>0.019906</v>
      </c>
      <c r="L392" t="n">
        <v>2.7862</v>
      </c>
      <c r="M392" t="n">
        <v>0.1935</v>
      </c>
      <c r="N392" t="n">
        <v>0.5392</v>
      </c>
      <c r="O392" t="inlineStr">
        <is>
          <t>WATCH</t>
        </is>
      </c>
    </row>
    <row r="393">
      <c r="A393" t="n">
        <v>13445189</v>
      </c>
      <c r="B393" t="n">
        <v>392</v>
      </c>
      <c r="C393" t="n">
        <v>7490</v>
      </c>
      <c r="D393" t="n">
        <v>2031</v>
      </c>
      <c r="E393" t="n">
        <v>297</v>
      </c>
      <c r="F393" t="n">
        <v>1.9044</v>
      </c>
      <c r="G393" s="30" t="n">
        <v>0.000394</v>
      </c>
      <c r="H393" s="14" t="n">
        <v>0.9445</v>
      </c>
      <c r="I393" t="n">
        <v>0.271162</v>
      </c>
      <c r="J393" t="n">
        <v>0.1462</v>
      </c>
      <c r="K393" t="n">
        <v>0.006412</v>
      </c>
      <c r="L393" t="n">
        <v>1.2277</v>
      </c>
      <c r="M393" t="n">
        <v>0.4336</v>
      </c>
      <c r="N393" t="n">
        <v>0.5323</v>
      </c>
      <c r="O393" t="inlineStr">
        <is>
          <t>GROW</t>
        </is>
      </c>
    </row>
    <row r="394">
      <c r="A394" t="n">
        <v>21830168</v>
      </c>
      <c r="B394" t="n">
        <v>393</v>
      </c>
      <c r="C394" t="n">
        <v>7261</v>
      </c>
      <c r="D394" t="n">
        <v>2648</v>
      </c>
      <c r="E394" t="n">
        <v>28</v>
      </c>
      <c r="F394" t="n">
        <v>1.8901</v>
      </c>
      <c r="G394" s="30" t="n">
        <v>0.000391</v>
      </c>
      <c r="H394" s="14" t="n">
        <v>0.9449</v>
      </c>
      <c r="I394" t="n">
        <v>0.364688</v>
      </c>
      <c r="J394" t="n">
        <v>0.0106</v>
      </c>
      <c r="K394" t="n">
        <v>0.06750399999999999</v>
      </c>
      <c r="L394" t="n">
        <v>0.4843</v>
      </c>
      <c r="M394" t="n">
        <v>0.7348</v>
      </c>
      <c r="N394" t="n">
        <v>0.3558</v>
      </c>
      <c r="O394" t="inlineStr">
        <is>
          <t>WATCH</t>
        </is>
      </c>
    </row>
    <row r="395">
      <c r="A395" t="n">
        <v>10013589</v>
      </c>
      <c r="B395" t="n">
        <v>394</v>
      </c>
      <c r="C395" t="n">
        <v>8385</v>
      </c>
      <c r="D395" t="n">
        <v>2432</v>
      </c>
      <c r="E395" t="n">
        <v>665</v>
      </c>
      <c r="F395" t="n">
        <v>1.8855</v>
      </c>
      <c r="G395" s="30" t="n">
        <v>0.00039</v>
      </c>
      <c r="H395" s="14" t="n">
        <v>0.9453</v>
      </c>
      <c r="I395" t="n">
        <v>0.290042</v>
      </c>
      <c r="J395" t="n">
        <v>0.2734</v>
      </c>
      <c r="K395" t="n">
        <v>0.002835</v>
      </c>
      <c r="L395" t="n">
        <v>0.4604</v>
      </c>
      <c r="M395" t="n">
        <v>0.5815</v>
      </c>
      <c r="N395" t="n">
        <v>0.2677</v>
      </c>
      <c r="O395" t="inlineStr">
        <is>
          <t>GROW</t>
        </is>
      </c>
    </row>
    <row r="396">
      <c r="A396" t="n">
        <v>22445172</v>
      </c>
      <c r="B396" t="n">
        <v>395</v>
      </c>
      <c r="C396" t="n">
        <v>11242</v>
      </c>
      <c r="D396" t="n">
        <v>4059</v>
      </c>
      <c r="E396" t="n">
        <v>76</v>
      </c>
      <c r="F396" t="n">
        <v>1.8781</v>
      </c>
      <c r="G396" s="30" t="n">
        <v>0.000389</v>
      </c>
      <c r="H396" s="14" t="n">
        <v>0.9457</v>
      </c>
      <c r="I396" t="n">
        <v>0.361057</v>
      </c>
      <c r="J396" t="n">
        <v>0.0187</v>
      </c>
      <c r="K396" t="n">
        <v>0.024712</v>
      </c>
      <c r="L396" t="n">
        <v>1.4216</v>
      </c>
      <c r="M396" t="n">
        <v>0.3552</v>
      </c>
      <c r="N396" t="n">
        <v>0.5049</v>
      </c>
      <c r="O396" t="inlineStr">
        <is>
          <t>WATCH</t>
        </is>
      </c>
    </row>
    <row r="397">
      <c r="A397" t="n">
        <v>31775712</v>
      </c>
      <c r="B397" t="n">
        <v>396</v>
      </c>
      <c r="C397" t="n">
        <v>9194</v>
      </c>
      <c r="D397" t="n">
        <v>2662</v>
      </c>
      <c r="E397" t="n">
        <v>153</v>
      </c>
      <c r="F397" t="n">
        <v>1.876</v>
      </c>
      <c r="G397" s="30" t="n">
        <v>0.000388</v>
      </c>
      <c r="H397" s="14" t="n">
        <v>0.9461000000000001</v>
      </c>
      <c r="I397" t="n">
        <v>0.289537</v>
      </c>
      <c r="J397" t="n">
        <v>0.0575</v>
      </c>
      <c r="K397" t="n">
        <v>0.012261</v>
      </c>
      <c r="L397" t="n">
        <v>1.2125</v>
      </c>
      <c r="M397" t="n">
        <v>0.4044</v>
      </c>
      <c r="N397" t="n">
        <v>0.4903</v>
      </c>
      <c r="O397" t="inlineStr">
        <is>
          <t>GROW</t>
        </is>
      </c>
    </row>
    <row r="398">
      <c r="A398" t="n">
        <v>442617</v>
      </c>
      <c r="B398" t="n">
        <v>397</v>
      </c>
      <c r="C398" t="n">
        <v>11404</v>
      </c>
      <c r="D398" t="n">
        <v>3129</v>
      </c>
      <c r="E398" t="n">
        <v>108</v>
      </c>
      <c r="F398" t="n">
        <v>1.8692</v>
      </c>
      <c r="G398" s="30" t="n">
        <v>0.000387</v>
      </c>
      <c r="H398" s="14" t="n">
        <v>0.9464</v>
      </c>
      <c r="I398" t="n">
        <v>0.274377</v>
      </c>
      <c r="J398" t="n">
        <v>0.0345</v>
      </c>
      <c r="K398" t="n">
        <v>0.017308</v>
      </c>
      <c r="L398" t="n">
        <v>1.0531</v>
      </c>
      <c r="M398" t="n">
        <v>0.4403</v>
      </c>
      <c r="N398" t="n">
        <v>0.4636</v>
      </c>
      <c r="O398" t="inlineStr">
        <is>
          <t>GROW</t>
        </is>
      </c>
    </row>
    <row r="399">
      <c r="A399" t="n">
        <v>23852331</v>
      </c>
      <c r="B399" t="n">
        <v>398</v>
      </c>
      <c r="C399" t="n">
        <v>4769</v>
      </c>
      <c r="D399" t="n">
        <v>1659</v>
      </c>
      <c r="E399" t="n">
        <v>101</v>
      </c>
      <c r="F399" t="n">
        <v>1.8657</v>
      </c>
      <c r="G399" s="30" t="n">
        <v>0.000386</v>
      </c>
      <c r="H399" s="14" t="n">
        <v>0.9468</v>
      </c>
      <c r="I399" t="n">
        <v>0.347872</v>
      </c>
      <c r="J399" t="n">
        <v>0.0609</v>
      </c>
      <c r="K399" t="n">
        <v>0.018472</v>
      </c>
      <c r="L399" t="n">
        <v>0.4616</v>
      </c>
      <c r="M399" t="n">
        <v>0.6188</v>
      </c>
      <c r="N399" t="n">
        <v>0.2856</v>
      </c>
      <c r="O399" t="inlineStr">
        <is>
          <t>WATCH</t>
        </is>
      </c>
    </row>
    <row r="400">
      <c r="A400" t="n">
        <v>17091415</v>
      </c>
      <c r="B400" t="n">
        <v>399</v>
      </c>
      <c r="C400" t="n">
        <v>8214</v>
      </c>
      <c r="D400" t="n">
        <v>2951</v>
      </c>
      <c r="E400" t="n">
        <v>80</v>
      </c>
      <c r="F400" t="n">
        <v>1.8615</v>
      </c>
      <c r="G400" s="30" t="n">
        <v>0.000385</v>
      </c>
      <c r="H400" s="14" t="n">
        <v>0.9472</v>
      </c>
      <c r="I400" t="n">
        <v>0.359265</v>
      </c>
      <c r="J400" t="n">
        <v>0.0271</v>
      </c>
      <c r="K400" t="n">
        <v>0.023268</v>
      </c>
      <c r="L400" t="n">
        <v>2.8647</v>
      </c>
      <c r="M400" t="n">
        <v>0.2205</v>
      </c>
      <c r="N400" t="n">
        <v>0.6317</v>
      </c>
      <c r="O400" t="inlineStr">
        <is>
          <t>WATCH</t>
        </is>
      </c>
    </row>
    <row r="401">
      <c r="A401" t="n">
        <v>7828336</v>
      </c>
      <c r="B401" t="n">
        <v>400</v>
      </c>
      <c r="C401" t="n">
        <v>1824</v>
      </c>
      <c r="D401" t="n">
        <v>580</v>
      </c>
      <c r="E401" t="n">
        <v>31</v>
      </c>
      <c r="F401" t="n">
        <v>1.8586</v>
      </c>
      <c r="G401" s="30" t="n">
        <v>0.000385</v>
      </c>
      <c r="H401" s="14" t="n">
        <v>0.9476</v>
      </c>
      <c r="I401" t="n">
        <v>0.317982</v>
      </c>
      <c r="J401" t="n">
        <v>0.0534</v>
      </c>
      <c r="K401" t="n">
        <v>0.059955</v>
      </c>
      <c r="L401" t="n">
        <v>2.7867</v>
      </c>
      <c r="M401" t="n">
        <v>0.1508</v>
      </c>
      <c r="N401" t="n">
        <v>0.4203</v>
      </c>
      <c r="O401" t="inlineStr">
        <is>
          <t>WATCH</t>
        </is>
      </c>
    </row>
    <row r="402">
      <c r="A402" t="n">
        <v>31330666</v>
      </c>
      <c r="B402" t="n">
        <v>401</v>
      </c>
      <c r="C402" t="n">
        <v>8917</v>
      </c>
      <c r="D402" t="n">
        <v>3393</v>
      </c>
      <c r="E402" t="n">
        <v>169</v>
      </c>
      <c r="F402" t="n">
        <v>1.8225</v>
      </c>
      <c r="G402" s="30" t="n">
        <v>0.000377</v>
      </c>
      <c r="H402" s="14" t="n">
        <v>0.948</v>
      </c>
      <c r="I402" t="n">
        <v>0.380509</v>
      </c>
      <c r="J402" t="n">
        <v>0.0498</v>
      </c>
      <c r="K402" t="n">
        <v>0.010784</v>
      </c>
      <c r="L402" t="n">
        <v>0.6991000000000001</v>
      </c>
      <c r="M402" t="n">
        <v>0.4137</v>
      </c>
      <c r="N402" t="n">
        <v>0.2893</v>
      </c>
      <c r="O402" t="inlineStr">
        <is>
          <t>GROW</t>
        </is>
      </c>
    </row>
    <row r="403">
      <c r="A403" t="n">
        <v>27385784</v>
      </c>
      <c r="B403" t="n">
        <v>402</v>
      </c>
      <c r="C403" t="n">
        <v>17125</v>
      </c>
      <c r="D403" t="n">
        <v>5911</v>
      </c>
      <c r="E403" t="n">
        <v>88</v>
      </c>
      <c r="F403" t="n">
        <v>1.8158</v>
      </c>
      <c r="G403" s="30" t="n">
        <v>0.000376</v>
      </c>
      <c r="H403" s="14" t="n">
        <v>0.9484</v>
      </c>
      <c r="I403" t="n">
        <v>0.345168</v>
      </c>
      <c r="J403" t="n">
        <v>0.0149</v>
      </c>
      <c r="K403" t="n">
        <v>0.020634</v>
      </c>
      <c r="L403" t="n">
        <v>1.998</v>
      </c>
      <c r="M403" t="n">
        <v>0.3302</v>
      </c>
      <c r="N403" t="n">
        <v>0.6598000000000001</v>
      </c>
      <c r="O403" t="inlineStr">
        <is>
          <t>WATCH</t>
        </is>
      </c>
    </row>
    <row r="404">
      <c r="A404" t="n">
        <v>13823055</v>
      </c>
      <c r="B404" t="n">
        <v>403</v>
      </c>
      <c r="C404" t="n">
        <v>6441</v>
      </c>
      <c r="D404" t="n">
        <v>1914</v>
      </c>
      <c r="E404" t="n">
        <v>122</v>
      </c>
      <c r="F404" t="n">
        <v>1.8137</v>
      </c>
      <c r="G404" s="30" t="n">
        <v>0.000376</v>
      </c>
      <c r="H404" s="14" t="n">
        <v>0.9487</v>
      </c>
      <c r="I404" t="n">
        <v>0.297159</v>
      </c>
      <c r="J404" t="n">
        <v>0.06370000000000001</v>
      </c>
      <c r="K404" t="n">
        <v>0.014866</v>
      </c>
      <c r="L404" t="n">
        <v>0.3697</v>
      </c>
      <c r="M404" t="n">
        <v>0.7</v>
      </c>
      <c r="N404" t="n">
        <v>0.2587</v>
      </c>
      <c r="O404" t="inlineStr">
        <is>
          <t>GROW</t>
        </is>
      </c>
    </row>
    <row r="405">
      <c r="A405" t="n">
        <v>7413800</v>
      </c>
      <c r="B405" t="n">
        <v>404</v>
      </c>
      <c r="C405" t="n">
        <v>4119</v>
      </c>
      <c r="D405" t="n">
        <v>1565</v>
      </c>
      <c r="E405" t="n">
        <v>18</v>
      </c>
      <c r="F405" t="n">
        <v>1.7961</v>
      </c>
      <c r="G405" s="30" t="n">
        <v>0.000372</v>
      </c>
      <c r="H405" s="14" t="n">
        <v>0.9491000000000001</v>
      </c>
      <c r="I405" t="n">
        <v>0.379947</v>
      </c>
      <c r="J405" t="n">
        <v>0.0115</v>
      </c>
      <c r="K405" t="n">
        <v>0.099783</v>
      </c>
      <c r="L405" t="n">
        <v>0.4949</v>
      </c>
      <c r="M405" t="n">
        <v>0.4694</v>
      </c>
      <c r="N405" t="n">
        <v>0.2323</v>
      </c>
      <c r="O405" t="inlineStr">
        <is>
          <t>WATCH</t>
        </is>
      </c>
    </row>
    <row r="406">
      <c r="A406" t="n">
        <v>17132183</v>
      </c>
      <c r="B406" t="n">
        <v>405</v>
      </c>
      <c r="C406" t="n">
        <v>13069</v>
      </c>
      <c r="D406" t="n">
        <v>4713</v>
      </c>
      <c r="E406" t="n">
        <v>165</v>
      </c>
      <c r="F406" t="n">
        <v>1.7931</v>
      </c>
      <c r="G406" s="30" t="n">
        <v>0.000371</v>
      </c>
      <c r="H406" s="14" t="n">
        <v>0.9495</v>
      </c>
      <c r="I406" t="n">
        <v>0.360624</v>
      </c>
      <c r="J406" t="n">
        <v>0.035</v>
      </c>
      <c r="K406" t="n">
        <v>0.010868</v>
      </c>
      <c r="L406" t="n">
        <v>0.5646</v>
      </c>
      <c r="M406" t="n">
        <v>0.5491</v>
      </c>
      <c r="N406" t="n">
        <v>0.31</v>
      </c>
      <c r="O406" t="inlineStr">
        <is>
          <t>GROW</t>
        </is>
      </c>
    </row>
    <row r="407">
      <c r="A407" t="n">
        <v>19000595</v>
      </c>
      <c r="B407" t="n">
        <v>406</v>
      </c>
      <c r="C407" t="n">
        <v>7985</v>
      </c>
      <c r="D407" t="n">
        <v>2397</v>
      </c>
      <c r="E407" t="n">
        <v>149</v>
      </c>
      <c r="F407" t="n">
        <v>1.7889</v>
      </c>
      <c r="G407" s="30" t="n">
        <v>0.00037</v>
      </c>
      <c r="H407" s="14" t="n">
        <v>0.9498</v>
      </c>
      <c r="I407" t="n">
        <v>0.300188</v>
      </c>
      <c r="J407" t="n">
        <v>0.0622</v>
      </c>
      <c r="K407" t="n">
        <v>0.012006</v>
      </c>
      <c r="L407" t="n">
        <v>0.9012</v>
      </c>
      <c r="M407" t="n">
        <v>0.3704</v>
      </c>
      <c r="N407" t="n">
        <v>0.3338</v>
      </c>
      <c r="O407" t="inlineStr">
        <is>
          <t>GROW</t>
        </is>
      </c>
    </row>
    <row r="408">
      <c r="A408" t="n">
        <v>24419530</v>
      </c>
      <c r="B408" t="n">
        <v>407</v>
      </c>
      <c r="C408" t="n">
        <v>4900</v>
      </c>
      <c r="D408" t="n">
        <v>2134</v>
      </c>
      <c r="E408" t="n">
        <v>41</v>
      </c>
      <c r="F408" t="n">
        <v>1.7779</v>
      </c>
      <c r="G408" s="30" t="n">
        <v>0.000368</v>
      </c>
      <c r="H408" s="14" t="n">
        <v>0.9502</v>
      </c>
      <c r="I408" t="n">
        <v>0.43551</v>
      </c>
      <c r="J408" t="n">
        <v>0.0192</v>
      </c>
      <c r="K408" t="n">
        <v>0.043364</v>
      </c>
      <c r="L408" t="n">
        <v>0.5419</v>
      </c>
      <c r="M408" t="n">
        <v>0.6568000000000001</v>
      </c>
      <c r="N408" t="n">
        <v>0.3559</v>
      </c>
      <c r="O408" t="inlineStr">
        <is>
          <t>WATCH</t>
        </is>
      </c>
    </row>
    <row r="409">
      <c r="A409" t="n">
        <v>4676898</v>
      </c>
      <c r="B409" t="n">
        <v>408</v>
      </c>
      <c r="C409" t="n">
        <v>5973</v>
      </c>
      <c r="D409" t="n">
        <v>1872</v>
      </c>
      <c r="E409" t="n">
        <v>161</v>
      </c>
      <c r="F409" t="n">
        <v>1.7597</v>
      </c>
      <c r="G409" s="30" t="n">
        <v>0.000364</v>
      </c>
      <c r="H409" s="14" t="n">
        <v>0.9506</v>
      </c>
      <c r="I409" t="n">
        <v>0.31341</v>
      </c>
      <c r="J409" t="n">
        <v>0.08599999999999999</v>
      </c>
      <c r="K409" t="n">
        <v>0.01093</v>
      </c>
      <c r="L409" t="n">
        <v>1.3755</v>
      </c>
      <c r="M409" t="n">
        <v>0.3371</v>
      </c>
      <c r="N409" t="n">
        <v>0.4637</v>
      </c>
      <c r="O409" t="inlineStr">
        <is>
          <t>GROW</t>
        </is>
      </c>
    </row>
    <row r="410">
      <c r="A410" t="n">
        <v>17314989</v>
      </c>
      <c r="B410" t="n">
        <v>409</v>
      </c>
      <c r="C410" t="n">
        <v>11739</v>
      </c>
      <c r="D410" t="n">
        <v>4080</v>
      </c>
      <c r="E410" t="n">
        <v>146</v>
      </c>
      <c r="F410" t="n">
        <v>1.7477</v>
      </c>
      <c r="G410" s="30" t="n">
        <v>0.000362</v>
      </c>
      <c r="H410" s="14" t="n">
        <v>0.9509</v>
      </c>
      <c r="I410" t="n">
        <v>0.347559</v>
      </c>
      <c r="J410" t="n">
        <v>0.0358</v>
      </c>
      <c r="K410" t="n">
        <v>0.01197</v>
      </c>
      <c r="L410" t="n">
        <v>1.2294</v>
      </c>
      <c r="M410" t="n">
        <v>0.3361</v>
      </c>
      <c r="N410" t="n">
        <v>0.4132</v>
      </c>
      <c r="O410" t="inlineStr">
        <is>
          <t>GROW</t>
        </is>
      </c>
    </row>
    <row r="411">
      <c r="A411" t="n">
        <v>18436526</v>
      </c>
      <c r="B411" t="n">
        <v>410</v>
      </c>
      <c r="C411" t="n">
        <v>23430</v>
      </c>
      <c r="D411" t="n">
        <v>6312</v>
      </c>
      <c r="E411" t="n">
        <v>40</v>
      </c>
      <c r="F411" t="n">
        <v>1.7459</v>
      </c>
      <c r="G411" s="30" t="n">
        <v>0.000362</v>
      </c>
      <c r="H411" s="14" t="n">
        <v>0.9513</v>
      </c>
      <c r="I411" t="n">
        <v>0.269398</v>
      </c>
      <c r="J411" t="n">
        <v>0.0063</v>
      </c>
      <c r="K411" t="n">
        <v>0.043647</v>
      </c>
      <c r="L411" t="n">
        <v>0.3142</v>
      </c>
      <c r="M411" t="n">
        <v>0.6321</v>
      </c>
      <c r="N411" t="n">
        <v>0.1986</v>
      </c>
      <c r="O411" t="inlineStr">
        <is>
          <t>WATCH</t>
        </is>
      </c>
    </row>
    <row r="412">
      <c r="A412" t="n">
        <v>12002431</v>
      </c>
      <c r="B412" t="n">
        <v>411</v>
      </c>
      <c r="C412" t="n">
        <v>11658</v>
      </c>
      <c r="D412" t="n">
        <v>4969</v>
      </c>
      <c r="E412" t="n">
        <v>279</v>
      </c>
      <c r="F412" t="n">
        <v>1.7335</v>
      </c>
      <c r="G412" s="30" t="n">
        <v>0.000359</v>
      </c>
      <c r="H412" s="14" t="n">
        <v>0.9517</v>
      </c>
      <c r="I412" t="n">
        <v>0.426231</v>
      </c>
      <c r="J412" t="n">
        <v>0.0561</v>
      </c>
      <c r="K412" t="n">
        <v>0.006213</v>
      </c>
      <c r="L412" t="n">
        <v>1.2184</v>
      </c>
      <c r="M412" t="n">
        <v>0.3186</v>
      </c>
      <c r="N412" t="n">
        <v>0.3882</v>
      </c>
      <c r="O412" t="inlineStr">
        <is>
          <t>GROW</t>
        </is>
      </c>
    </row>
    <row r="413">
      <c r="A413" t="n">
        <v>13770704</v>
      </c>
      <c r="B413" t="n">
        <v>412</v>
      </c>
      <c r="C413" t="n">
        <v>12260</v>
      </c>
      <c r="D413" t="n">
        <v>3650</v>
      </c>
      <c r="E413" t="n">
        <v>121</v>
      </c>
      <c r="F413" t="n">
        <v>1.7313</v>
      </c>
      <c r="G413" s="30" t="n">
        <v>0.000358</v>
      </c>
      <c r="H413" s="14" t="n">
        <v>0.952</v>
      </c>
      <c r="I413" t="n">
        <v>0.297716</v>
      </c>
      <c r="J413" t="n">
        <v>0.0332</v>
      </c>
      <c r="K413" t="n">
        <v>0.014308</v>
      </c>
      <c r="L413" t="n">
        <v>1.186</v>
      </c>
      <c r="M413" t="n">
        <v>0.4456</v>
      </c>
      <c r="N413" t="n">
        <v>0.5284</v>
      </c>
      <c r="O413" t="inlineStr">
        <is>
          <t>GROW</t>
        </is>
      </c>
    </row>
    <row r="414">
      <c r="A414" t="n">
        <v>29091102</v>
      </c>
      <c r="B414" t="n">
        <v>413</v>
      </c>
      <c r="C414" t="n">
        <v>11139</v>
      </c>
      <c r="D414" t="n">
        <v>3254</v>
      </c>
      <c r="E414" t="n">
        <v>78</v>
      </c>
      <c r="F414" t="n">
        <v>1.731</v>
      </c>
      <c r="G414" s="30" t="n">
        <v>0.000358</v>
      </c>
      <c r="H414" s="14" t="n">
        <v>0.9524</v>
      </c>
      <c r="I414" t="n">
        <v>0.292127</v>
      </c>
      <c r="J414" t="n">
        <v>0.024</v>
      </c>
      <c r="K414" t="n">
        <v>0.022192</v>
      </c>
      <c r="L414" t="n">
        <v>0.7109</v>
      </c>
      <c r="M414" t="n">
        <v>0.5256</v>
      </c>
      <c r="N414" t="n">
        <v>0.3737</v>
      </c>
      <c r="O414" t="inlineStr">
        <is>
          <t>WATCH</t>
        </is>
      </c>
    </row>
    <row r="415">
      <c r="A415" t="n">
        <v>22071675</v>
      </c>
      <c r="B415" t="n">
        <v>414</v>
      </c>
      <c r="C415" t="n">
        <v>2504</v>
      </c>
      <c r="D415" t="n">
        <v>1036</v>
      </c>
      <c r="E415" t="n">
        <v>180</v>
      </c>
      <c r="F415" t="n">
        <v>1.7296</v>
      </c>
      <c r="G415" s="30" t="n">
        <v>0.000358</v>
      </c>
      <c r="H415" s="14" t="n">
        <v>0.9527</v>
      </c>
      <c r="I415" t="n">
        <v>0.413738</v>
      </c>
      <c r="J415" t="n">
        <v>0.1737</v>
      </c>
      <c r="K415" t="n">
        <v>0.009608999999999999</v>
      </c>
      <c r="L415" t="n">
        <v>1.3901</v>
      </c>
      <c r="M415" t="n">
        <v>0.3454</v>
      </c>
      <c r="N415" t="n">
        <v>0.4801</v>
      </c>
      <c r="O415" t="inlineStr">
        <is>
          <t>GROW</t>
        </is>
      </c>
    </row>
    <row r="416">
      <c r="A416" t="n">
        <v>18836888</v>
      </c>
      <c r="B416" t="n">
        <v>415</v>
      </c>
      <c r="C416" t="n">
        <v>7084</v>
      </c>
      <c r="D416" t="n">
        <v>1783</v>
      </c>
      <c r="E416" t="n">
        <v>57</v>
      </c>
      <c r="F416" t="n">
        <v>1.7013</v>
      </c>
      <c r="G416" s="30" t="n">
        <v>0.000352</v>
      </c>
      <c r="H416" s="14" t="n">
        <v>0.9530999999999999</v>
      </c>
      <c r="I416" t="n">
        <v>0.251694</v>
      </c>
      <c r="J416" t="n">
        <v>0.032</v>
      </c>
      <c r="K416" t="n">
        <v>0.029847</v>
      </c>
      <c r="L416" t="n">
        <v>0.5514</v>
      </c>
      <c r="M416" t="n">
        <v>0.6225000000000001</v>
      </c>
      <c r="N416" t="n">
        <v>0.3432</v>
      </c>
      <c r="O416" t="inlineStr">
        <is>
          <t>WATCH</t>
        </is>
      </c>
    </row>
    <row r="417">
      <c r="A417" t="n">
        <v>16506604</v>
      </c>
      <c r="B417" t="n">
        <v>416</v>
      </c>
      <c r="C417" t="n">
        <v>3748</v>
      </c>
      <c r="D417" t="n">
        <v>1217</v>
      </c>
      <c r="E417" t="n">
        <v>14</v>
      </c>
      <c r="F417" t="n">
        <v>1.6846</v>
      </c>
      <c r="G417" s="30" t="n">
        <v>0.000349</v>
      </c>
      <c r="H417" s="14" t="n">
        <v>0.9534</v>
      </c>
      <c r="I417" t="n">
        <v>0.324707</v>
      </c>
      <c r="J417" t="n">
        <v>0.0115</v>
      </c>
      <c r="K417" t="n">
        <v>0.120328</v>
      </c>
      <c r="L417" t="n">
        <v>1.1066</v>
      </c>
      <c r="M417" t="n">
        <v>0.5392</v>
      </c>
      <c r="N417" t="n">
        <v>0.5967</v>
      </c>
      <c r="O417" t="inlineStr">
        <is>
          <t>WATCH</t>
        </is>
      </c>
    </row>
    <row r="418">
      <c r="A418" t="n">
        <v>2953712</v>
      </c>
      <c r="B418" t="n">
        <v>417</v>
      </c>
      <c r="C418" t="n">
        <v>5249</v>
      </c>
      <c r="D418" t="n">
        <v>1665</v>
      </c>
      <c r="E418" t="n">
        <v>145</v>
      </c>
      <c r="F418" t="n">
        <v>1.6699</v>
      </c>
      <c r="G418" s="30" t="n">
        <v>0.000346</v>
      </c>
      <c r="H418" s="14" t="n">
        <v>0.9538</v>
      </c>
      <c r="I418" t="n">
        <v>0.317203</v>
      </c>
      <c r="J418" t="n">
        <v>0.0871</v>
      </c>
      <c r="K418" t="n">
        <v>0.011516</v>
      </c>
      <c r="L418" t="n">
        <v>0.91</v>
      </c>
      <c r="M418" t="n">
        <v>0.4128</v>
      </c>
      <c r="N418" t="n">
        <v>0.3756</v>
      </c>
      <c r="O418" t="inlineStr">
        <is>
          <t>GROW</t>
        </is>
      </c>
    </row>
    <row r="419">
      <c r="A419" t="n">
        <v>11042365</v>
      </c>
      <c r="B419" t="n">
        <v>418</v>
      </c>
      <c r="C419" t="n">
        <v>6168</v>
      </c>
      <c r="D419" t="n">
        <v>2364</v>
      </c>
      <c r="E419" t="n">
        <v>27</v>
      </c>
      <c r="F419" t="n">
        <v>1.6663</v>
      </c>
      <c r="G419" s="30" t="n">
        <v>0.000345</v>
      </c>
      <c r="H419" s="14" t="n">
        <v>0.9540999999999999</v>
      </c>
      <c r="I419" t="n">
        <v>0.383268</v>
      </c>
      <c r="J419" t="n">
        <v>0.0114</v>
      </c>
      <c r="K419" t="n">
        <v>0.061714</v>
      </c>
      <c r="L419" t="n">
        <v>1.3081</v>
      </c>
      <c r="M419" t="n">
        <v>0.2735</v>
      </c>
      <c r="N419" t="n">
        <v>0.3578</v>
      </c>
      <c r="O419" t="inlineStr">
        <is>
          <t>WATCH</t>
        </is>
      </c>
    </row>
    <row r="420">
      <c r="A420" t="n">
        <v>5474094</v>
      </c>
      <c r="B420" t="n">
        <v>419</v>
      </c>
      <c r="C420" t="n">
        <v>2462</v>
      </c>
      <c r="D420" t="n">
        <v>1023</v>
      </c>
      <c r="E420" t="n">
        <v>59</v>
      </c>
      <c r="F420" t="n">
        <v>1.6626</v>
      </c>
      <c r="G420" s="30" t="n">
        <v>0.000344</v>
      </c>
      <c r="H420" s="14" t="n">
        <v>0.9545</v>
      </c>
      <c r="I420" t="n">
        <v>0.415516</v>
      </c>
      <c r="J420" t="n">
        <v>0.0577</v>
      </c>
      <c r="K420" t="n">
        <v>0.028179</v>
      </c>
      <c r="L420" t="n">
        <v>0.499</v>
      </c>
      <c r="M420" t="n">
        <v>0.6361</v>
      </c>
      <c r="N420" t="n">
        <v>0.3174</v>
      </c>
      <c r="O420" t="inlineStr">
        <is>
          <t>WATCH</t>
        </is>
      </c>
    </row>
    <row r="421">
      <c r="A421" t="n">
        <v>29864831</v>
      </c>
      <c r="B421" t="n">
        <v>420</v>
      </c>
      <c r="C421" t="n">
        <v>4069</v>
      </c>
      <c r="D421" t="n">
        <v>1569</v>
      </c>
      <c r="E421" t="n">
        <v>167</v>
      </c>
      <c r="F421" t="n">
        <v>1.6578</v>
      </c>
      <c r="G421" s="30" t="n">
        <v>0.000343</v>
      </c>
      <c r="H421" s="14" t="n">
        <v>0.9548</v>
      </c>
      <c r="I421" t="n">
        <v>0.385598</v>
      </c>
      <c r="J421" t="n">
        <v>0.1064</v>
      </c>
      <c r="K421" t="n">
        <v>0.009927</v>
      </c>
      <c r="L421" t="n">
        <v>1.4362</v>
      </c>
      <c r="M421" t="n">
        <v>0.318</v>
      </c>
      <c r="N421" t="n">
        <v>0.4567</v>
      </c>
      <c r="O421" t="inlineStr">
        <is>
          <t>GROW</t>
        </is>
      </c>
    </row>
    <row r="422">
      <c r="A422" t="n">
        <v>12458065</v>
      </c>
      <c r="B422" t="n">
        <v>421</v>
      </c>
      <c r="C422" t="n">
        <v>9407</v>
      </c>
      <c r="D422" t="n">
        <v>4263</v>
      </c>
      <c r="E422" t="n">
        <v>141</v>
      </c>
      <c r="F422" t="n">
        <v>1.6418</v>
      </c>
      <c r="G422" s="30" t="n">
        <v>0.00034</v>
      </c>
      <c r="H422" s="14" t="n">
        <v>0.9550999999999999</v>
      </c>
      <c r="I422" t="n">
        <v>0.453173</v>
      </c>
      <c r="J422" t="n">
        <v>0.0331</v>
      </c>
      <c r="K422" t="n">
        <v>0.011644</v>
      </c>
      <c r="L422" t="n">
        <v>3.5532</v>
      </c>
      <c r="M422" t="n">
        <v>0.1689</v>
      </c>
      <c r="N422" t="n">
        <v>0.6002</v>
      </c>
      <c r="O422" t="inlineStr">
        <is>
          <t>GROW</t>
        </is>
      </c>
    </row>
    <row r="423">
      <c r="A423" t="n">
        <v>5316929</v>
      </c>
      <c r="B423" t="n">
        <v>422</v>
      </c>
      <c r="C423" t="n">
        <v>12876</v>
      </c>
      <c r="D423" t="n">
        <v>3108</v>
      </c>
      <c r="E423" t="n">
        <v>92</v>
      </c>
      <c r="F423" t="n">
        <v>1.5988</v>
      </c>
      <c r="G423" s="30" t="n">
        <v>0.000331</v>
      </c>
      <c r="H423" s="14" t="n">
        <v>0.9555</v>
      </c>
      <c r="I423" t="n">
        <v>0.241379</v>
      </c>
      <c r="J423" t="n">
        <v>0.0296</v>
      </c>
      <c r="K423" t="n">
        <v>0.017378</v>
      </c>
      <c r="L423" t="n">
        <v>0.8682</v>
      </c>
      <c r="M423" t="n">
        <v>0.4648</v>
      </c>
      <c r="N423" t="n">
        <v>0.4035</v>
      </c>
      <c r="O423" t="inlineStr">
        <is>
          <t>GROW</t>
        </is>
      </c>
    </row>
    <row r="424">
      <c r="A424" t="n">
        <v>14106384</v>
      </c>
      <c r="B424" t="n">
        <v>423</v>
      </c>
      <c r="C424" t="n">
        <v>7796</v>
      </c>
      <c r="D424" t="n">
        <v>2221</v>
      </c>
      <c r="E424" t="n">
        <v>747</v>
      </c>
      <c r="F424" t="n">
        <v>1.5978</v>
      </c>
      <c r="G424" s="30" t="n">
        <v>0.000331</v>
      </c>
      <c r="H424" s="14" t="n">
        <v>0.9558</v>
      </c>
      <c r="I424" t="n">
        <v>0.28489</v>
      </c>
      <c r="J424" t="n">
        <v>0.3363</v>
      </c>
      <c r="K424" t="n">
        <v>0.002139</v>
      </c>
      <c r="L424" t="n">
        <v>0.6252</v>
      </c>
      <c r="M424" t="n">
        <v>0.3284</v>
      </c>
      <c r="N424" t="n">
        <v>0.2053</v>
      </c>
      <c r="O424" t="inlineStr">
        <is>
          <t>GROW</t>
        </is>
      </c>
    </row>
    <row r="425">
      <c r="A425" t="n">
        <v>29874686</v>
      </c>
      <c r="B425" t="n">
        <v>424</v>
      </c>
      <c r="C425" t="n">
        <v>7325</v>
      </c>
      <c r="D425" t="n">
        <v>2833</v>
      </c>
      <c r="E425" t="n">
        <v>73</v>
      </c>
      <c r="F425" t="n">
        <v>1.5965</v>
      </c>
      <c r="G425" s="30" t="n">
        <v>0.000331</v>
      </c>
      <c r="H425" s="14" t="n">
        <v>0.9560999999999999</v>
      </c>
      <c r="I425" t="n">
        <v>0.386758</v>
      </c>
      <c r="J425" t="n">
        <v>0.0258</v>
      </c>
      <c r="K425" t="n">
        <v>0.021869</v>
      </c>
      <c r="L425" t="n">
        <v>1.782</v>
      </c>
      <c r="M425" t="n">
        <v>0.2646</v>
      </c>
      <c r="N425" t="n">
        <v>0.4715</v>
      </c>
      <c r="O425" t="inlineStr">
        <is>
          <t>WATCH</t>
        </is>
      </c>
    </row>
    <row r="426">
      <c r="A426" t="n">
        <v>18916125</v>
      </c>
      <c r="B426" t="n">
        <v>425</v>
      </c>
      <c r="C426" t="n">
        <v>5190</v>
      </c>
      <c r="D426" t="n">
        <v>1247</v>
      </c>
      <c r="E426" t="n">
        <v>93</v>
      </c>
      <c r="F426" t="n">
        <v>1.5921</v>
      </c>
      <c r="G426" s="30" t="n">
        <v>0.00033</v>
      </c>
      <c r="H426" s="14" t="n">
        <v>0.9565</v>
      </c>
      <c r="I426" t="n">
        <v>0.24027</v>
      </c>
      <c r="J426" t="n">
        <v>0.0746</v>
      </c>
      <c r="K426" t="n">
        <v>0.01712</v>
      </c>
      <c r="L426" t="n">
        <v>0.5103</v>
      </c>
      <c r="M426" t="n">
        <v>0.5019</v>
      </c>
      <c r="N426" t="n">
        <v>0.2561</v>
      </c>
      <c r="O426" t="inlineStr">
        <is>
          <t>GROW</t>
        </is>
      </c>
    </row>
    <row r="427">
      <c r="A427" t="n">
        <v>32405311</v>
      </c>
      <c r="B427" t="n">
        <v>426</v>
      </c>
      <c r="C427" t="n">
        <v>2576</v>
      </c>
      <c r="D427" t="n">
        <v>1206</v>
      </c>
      <c r="E427" t="n">
        <v>107</v>
      </c>
      <c r="F427" t="n">
        <v>1.5898</v>
      </c>
      <c r="G427" s="30" t="n">
        <v>0.000329</v>
      </c>
      <c r="H427" s="14" t="n">
        <v>0.9568</v>
      </c>
      <c r="I427" t="n">
        <v>0.468168</v>
      </c>
      <c r="J427" t="n">
        <v>0.0887</v>
      </c>
      <c r="K427" t="n">
        <v>0.014858</v>
      </c>
      <c r="L427" t="n">
        <v>0.9833</v>
      </c>
      <c r="M427" t="n">
        <v>0.3581</v>
      </c>
      <c r="N427" t="n">
        <v>0.3521</v>
      </c>
      <c r="O427" t="inlineStr">
        <is>
          <t>GROW</t>
        </is>
      </c>
    </row>
    <row r="428">
      <c r="A428" t="n">
        <v>22891661</v>
      </c>
      <c r="B428" t="n">
        <v>427</v>
      </c>
      <c r="C428" t="n">
        <v>5559</v>
      </c>
      <c r="D428" t="n">
        <v>1957</v>
      </c>
      <c r="E428" t="n">
        <v>28</v>
      </c>
      <c r="F428" t="n">
        <v>1.5887</v>
      </c>
      <c r="G428" s="30" t="n">
        <v>0.000329</v>
      </c>
      <c r="H428" s="14" t="n">
        <v>0.9571</v>
      </c>
      <c r="I428" t="n">
        <v>0.352042</v>
      </c>
      <c r="J428" t="n">
        <v>0.0143</v>
      </c>
      <c r="K428" t="n">
        <v>0.056741</v>
      </c>
      <c r="L428" t="n">
        <v>0.5467</v>
      </c>
      <c r="M428" t="n">
        <v>0.4347</v>
      </c>
      <c r="N428" t="n">
        <v>0.2377</v>
      </c>
      <c r="O428" t="inlineStr">
        <is>
          <t>WATCH</t>
        </is>
      </c>
    </row>
    <row r="429">
      <c r="A429" t="n">
        <v>17491634</v>
      </c>
      <c r="B429" t="n">
        <v>428</v>
      </c>
      <c r="C429" t="n">
        <v>8755</v>
      </c>
      <c r="D429" t="n">
        <v>2747</v>
      </c>
      <c r="E429" t="n">
        <v>141</v>
      </c>
      <c r="F429" t="n">
        <v>1.5618</v>
      </c>
      <c r="G429" s="30" t="n">
        <v>0.000323</v>
      </c>
      <c r="H429" s="14" t="n">
        <v>0.9575</v>
      </c>
      <c r="I429" t="n">
        <v>0.313764</v>
      </c>
      <c r="J429" t="n">
        <v>0.0513</v>
      </c>
      <c r="K429" t="n">
        <v>0.011076</v>
      </c>
      <c r="L429" t="n">
        <v>1.0807</v>
      </c>
      <c r="M429" t="n">
        <v>0.3026</v>
      </c>
      <c r="N429" t="n">
        <v>0.3271</v>
      </c>
      <c r="O429" t="inlineStr">
        <is>
          <t>GROW</t>
        </is>
      </c>
    </row>
    <row r="430">
      <c r="A430" t="n">
        <v>828346</v>
      </c>
      <c r="B430" t="n">
        <v>429</v>
      </c>
      <c r="C430" t="n">
        <v>10610</v>
      </c>
      <c r="D430" t="n">
        <v>3629</v>
      </c>
      <c r="E430" t="n">
        <v>16</v>
      </c>
      <c r="F430" t="n">
        <v>1.5573</v>
      </c>
      <c r="G430" s="30" t="n">
        <v>0.000322</v>
      </c>
      <c r="H430" s="14" t="n">
        <v>0.9578</v>
      </c>
      <c r="I430" t="n">
        <v>0.342036</v>
      </c>
      <c r="J430" t="n">
        <v>0.0044</v>
      </c>
      <c r="K430" t="n">
        <v>0.097329</v>
      </c>
      <c r="L430" t="n">
        <v>0.4393</v>
      </c>
      <c r="M430" t="n">
        <v>0.6953</v>
      </c>
      <c r="N430" t="n">
        <v>0.3054</v>
      </c>
      <c r="O430" t="inlineStr">
        <is>
          <t>WATCH</t>
        </is>
      </c>
    </row>
    <row r="431">
      <c r="A431" t="n">
        <v>9700342</v>
      </c>
      <c r="B431" t="n">
        <v>430</v>
      </c>
      <c r="C431" t="n">
        <v>3956</v>
      </c>
      <c r="D431" t="n">
        <v>1687</v>
      </c>
      <c r="E431" t="n">
        <v>101</v>
      </c>
      <c r="F431" t="n">
        <v>1.551</v>
      </c>
      <c r="G431" s="30" t="n">
        <v>0.000321</v>
      </c>
      <c r="H431" s="14" t="n">
        <v>0.9581</v>
      </c>
      <c r="I431" t="n">
        <v>0.426441</v>
      </c>
      <c r="J431" t="n">
        <v>0.0599</v>
      </c>
      <c r="K431" t="n">
        <v>0.015357</v>
      </c>
      <c r="L431" t="n">
        <v>0.8875999999999999</v>
      </c>
      <c r="M431" t="n">
        <v>0.3574</v>
      </c>
      <c r="N431" t="n">
        <v>0.3172</v>
      </c>
      <c r="O431" t="inlineStr">
        <is>
          <t>GROW</t>
        </is>
      </c>
    </row>
    <row r="432">
      <c r="A432" t="n">
        <v>32135680</v>
      </c>
      <c r="B432" t="n">
        <v>431</v>
      </c>
      <c r="C432" t="n">
        <v>6844</v>
      </c>
      <c r="D432" t="n">
        <v>2218</v>
      </c>
      <c r="E432" t="n">
        <v>202</v>
      </c>
      <c r="F432" t="n">
        <v>1.5464</v>
      </c>
      <c r="G432" s="30" t="n">
        <v>0.00032</v>
      </c>
      <c r="H432" s="14" t="n">
        <v>0.9584</v>
      </c>
      <c r="I432" t="n">
        <v>0.324079</v>
      </c>
      <c r="J432" t="n">
        <v>0.0911</v>
      </c>
      <c r="K432" t="n">
        <v>0.007655</v>
      </c>
      <c r="L432" t="n">
        <v>1.4547</v>
      </c>
      <c r="M432" t="n">
        <v>0.2735</v>
      </c>
      <c r="N432" t="n">
        <v>0.3979</v>
      </c>
      <c r="O432" t="inlineStr">
        <is>
          <t>GROW</t>
        </is>
      </c>
    </row>
    <row r="433">
      <c r="A433" t="n">
        <v>27323540</v>
      </c>
      <c r="B433" t="n">
        <v>432</v>
      </c>
      <c r="C433" t="n">
        <v>21846</v>
      </c>
      <c r="D433" t="n">
        <v>7647</v>
      </c>
      <c r="E433" t="n">
        <v>109</v>
      </c>
      <c r="F433" t="n">
        <v>1.541</v>
      </c>
      <c r="G433" s="30" t="n">
        <v>0.000319</v>
      </c>
      <c r="H433" s="14" t="n">
        <v>0.9587</v>
      </c>
      <c r="I433" t="n">
        <v>0.350041</v>
      </c>
      <c r="J433" t="n">
        <v>0.0143</v>
      </c>
      <c r="K433" t="n">
        <v>0.014138</v>
      </c>
      <c r="L433" t="n">
        <v>1.136</v>
      </c>
      <c r="M433" t="n">
        <v>0.3318</v>
      </c>
      <c r="N433" t="n">
        <v>0.3769</v>
      </c>
      <c r="O433" t="inlineStr">
        <is>
          <t>GROW</t>
        </is>
      </c>
    </row>
    <row r="434">
      <c r="A434" t="n">
        <v>15500294</v>
      </c>
      <c r="B434" t="n">
        <v>433</v>
      </c>
      <c r="C434" t="n">
        <v>9714</v>
      </c>
      <c r="D434" t="n">
        <v>1633</v>
      </c>
      <c r="E434" t="n">
        <v>22</v>
      </c>
      <c r="F434" t="n">
        <v>1.5313</v>
      </c>
      <c r="G434" s="30" t="n">
        <v>0.000317</v>
      </c>
      <c r="H434" s="14" t="n">
        <v>0.9591</v>
      </c>
      <c r="I434" t="n">
        <v>0.168108</v>
      </c>
      <c r="J434" t="n">
        <v>0.0135</v>
      </c>
      <c r="K434" t="n">
        <v>0.069606</v>
      </c>
      <c r="L434" t="n">
        <v>0.8673</v>
      </c>
      <c r="M434" t="n">
        <v>0.3722</v>
      </c>
      <c r="N434" t="n">
        <v>0.3228</v>
      </c>
      <c r="O434" t="inlineStr">
        <is>
          <t>WATCH</t>
        </is>
      </c>
    </row>
    <row r="435">
      <c r="A435" t="n">
        <v>21307468</v>
      </c>
      <c r="B435" t="n">
        <v>434</v>
      </c>
      <c r="C435" t="n">
        <v>11331</v>
      </c>
      <c r="D435" t="n">
        <v>2433</v>
      </c>
      <c r="E435" t="n">
        <v>56</v>
      </c>
      <c r="F435" t="n">
        <v>1.5311</v>
      </c>
      <c r="G435" s="30" t="n">
        <v>0.000317</v>
      </c>
      <c r="H435" s="14" t="n">
        <v>0.9594</v>
      </c>
      <c r="I435" t="n">
        <v>0.214721</v>
      </c>
      <c r="J435" t="n">
        <v>0.023</v>
      </c>
      <c r="K435" t="n">
        <v>0.027341</v>
      </c>
      <c r="L435" t="n">
        <v>1.8185</v>
      </c>
      <c r="M435" t="n">
        <v>0.2138</v>
      </c>
      <c r="N435" t="n">
        <v>0.3888</v>
      </c>
      <c r="O435" t="inlineStr">
        <is>
          <t>WATCH</t>
        </is>
      </c>
    </row>
    <row r="436">
      <c r="A436" t="n">
        <v>22071674</v>
      </c>
      <c r="B436" t="n">
        <v>435</v>
      </c>
      <c r="C436" t="n">
        <v>2728</v>
      </c>
      <c r="D436" t="n">
        <v>1125</v>
      </c>
      <c r="E436" t="n">
        <v>102</v>
      </c>
      <c r="F436" t="n">
        <v>1.5307</v>
      </c>
      <c r="G436" s="30" t="n">
        <v>0.000317</v>
      </c>
      <c r="H436" s="14" t="n">
        <v>0.9597</v>
      </c>
      <c r="I436" t="n">
        <v>0.41239</v>
      </c>
      <c r="J436" t="n">
        <v>0.0907</v>
      </c>
      <c r="K436" t="n">
        <v>0.015006</v>
      </c>
      <c r="L436" t="n">
        <v>5.0489</v>
      </c>
      <c r="M436" t="n">
        <v>0.1188</v>
      </c>
      <c r="N436" t="n">
        <v>0.6</v>
      </c>
      <c r="O436" t="inlineStr">
        <is>
          <t>GROW</t>
        </is>
      </c>
    </row>
    <row r="437">
      <c r="A437" t="n">
        <v>13343035</v>
      </c>
      <c r="B437" t="n">
        <v>436</v>
      </c>
      <c r="C437" t="n">
        <v>17389</v>
      </c>
      <c r="D437" t="n">
        <v>6423</v>
      </c>
      <c r="E437" t="n">
        <v>479</v>
      </c>
      <c r="F437" t="n">
        <v>1.5262</v>
      </c>
      <c r="G437" s="30" t="n">
        <v>0.000316</v>
      </c>
      <c r="H437" s="14" t="n">
        <v>0.96</v>
      </c>
      <c r="I437" t="n">
        <v>0.369371</v>
      </c>
      <c r="J437" t="n">
        <v>0.0746</v>
      </c>
      <c r="K437" t="n">
        <v>0.003186</v>
      </c>
      <c r="L437" t="n">
        <v>1.4587</v>
      </c>
      <c r="M437" t="n">
        <v>0.2461</v>
      </c>
      <c r="N437" t="n">
        <v>0.359</v>
      </c>
      <c r="O437" t="inlineStr">
        <is>
          <t>GROW</t>
        </is>
      </c>
    </row>
    <row r="438">
      <c r="A438" t="n">
        <v>10810198</v>
      </c>
      <c r="B438" t="n">
        <v>437</v>
      </c>
      <c r="C438" t="n">
        <v>9124</v>
      </c>
      <c r="D438" t="n">
        <v>5752</v>
      </c>
      <c r="E438" t="n">
        <v>347</v>
      </c>
      <c r="F438" t="n">
        <v>1.5256</v>
      </c>
      <c r="G438" s="30" t="n">
        <v>0.000316</v>
      </c>
      <c r="H438" s="14" t="n">
        <v>0.9603</v>
      </c>
      <c r="I438" t="n">
        <v>0.630425</v>
      </c>
      <c r="J438" t="n">
        <v>0.0603</v>
      </c>
      <c r="K438" t="n">
        <v>0.004396</v>
      </c>
      <c r="L438" t="n">
        <v>1.7949</v>
      </c>
      <c r="M438" t="n">
        <v>0.2328</v>
      </c>
      <c r="N438" t="n">
        <v>0.4178</v>
      </c>
      <c r="O438" t="inlineStr">
        <is>
          <t>GROW</t>
        </is>
      </c>
    </row>
    <row r="439">
      <c r="A439" t="n">
        <v>29880997</v>
      </c>
      <c r="B439" t="n">
        <v>438</v>
      </c>
      <c r="C439" t="n">
        <v>5606</v>
      </c>
      <c r="D439" t="n">
        <v>1668</v>
      </c>
      <c r="E439" t="n">
        <v>559</v>
      </c>
      <c r="F439" t="n">
        <v>1.5239</v>
      </c>
      <c r="G439" s="30" t="n">
        <v>0.000316</v>
      </c>
      <c r="H439" s="14" t="n">
        <v>0.9606</v>
      </c>
      <c r="I439" t="n">
        <v>0.297538</v>
      </c>
      <c r="J439" t="n">
        <v>0.3351</v>
      </c>
      <c r="K439" t="n">
        <v>0.002726</v>
      </c>
      <c r="L439" t="n">
        <v>0.4316</v>
      </c>
      <c r="M439" t="n">
        <v>0.4638</v>
      </c>
      <c r="N439" t="n">
        <v>0.2002</v>
      </c>
      <c r="O439" t="inlineStr">
        <is>
          <t>GROW</t>
        </is>
      </c>
    </row>
    <row r="440">
      <c r="A440" t="n">
        <v>2694554</v>
      </c>
      <c r="B440" t="n">
        <v>439</v>
      </c>
      <c r="C440" t="n">
        <v>14572</v>
      </c>
      <c r="D440" t="n">
        <v>6848</v>
      </c>
      <c r="E440" t="n">
        <v>673</v>
      </c>
      <c r="F440" t="n">
        <v>1.5156</v>
      </c>
      <c r="G440" s="30" t="n">
        <v>0.000314</v>
      </c>
      <c r="H440" s="14" t="n">
        <v>0.9609</v>
      </c>
      <c r="I440" t="n">
        <v>0.469942</v>
      </c>
      <c r="J440" t="n">
        <v>0.0983</v>
      </c>
      <c r="K440" t="n">
        <v>0.002252</v>
      </c>
      <c r="L440" t="n">
        <v>1.4</v>
      </c>
      <c r="M440" t="n">
        <v>0.3063</v>
      </c>
      <c r="N440" t="n">
        <v>0.4288</v>
      </c>
      <c r="O440" t="inlineStr">
        <is>
          <t>GROW</t>
        </is>
      </c>
    </row>
    <row r="441">
      <c r="A441" t="n">
        <v>26750602</v>
      </c>
      <c r="B441" t="n">
        <v>440</v>
      </c>
      <c r="C441" t="n">
        <v>4550</v>
      </c>
      <c r="D441" t="n">
        <v>1338</v>
      </c>
      <c r="E441" t="n">
        <v>13</v>
      </c>
      <c r="F441" t="n">
        <v>1.5123</v>
      </c>
      <c r="G441" s="30" t="n">
        <v>0.000313</v>
      </c>
      <c r="H441" s="14" t="n">
        <v>0.9613</v>
      </c>
      <c r="I441" t="n">
        <v>0.294066</v>
      </c>
      <c r="J441" t="n">
        <v>0.0097</v>
      </c>
      <c r="K441" t="n">
        <v>0.116327</v>
      </c>
      <c r="L441" t="n">
        <v>0.7904</v>
      </c>
      <c r="M441" t="n">
        <v>0.4036</v>
      </c>
      <c r="N441" t="n">
        <v>0.319</v>
      </c>
      <c r="O441" t="inlineStr">
        <is>
          <t>WATCH</t>
        </is>
      </c>
    </row>
    <row r="442">
      <c r="A442" t="n">
        <v>5892331</v>
      </c>
      <c r="B442" t="n">
        <v>441</v>
      </c>
      <c r="C442" t="n">
        <v>8214</v>
      </c>
      <c r="D442" t="n">
        <v>2179</v>
      </c>
      <c r="E442" t="n">
        <v>78</v>
      </c>
      <c r="F442" t="n">
        <v>1.5118</v>
      </c>
      <c r="G442" s="30" t="n">
        <v>0.000313</v>
      </c>
      <c r="H442" s="14" t="n">
        <v>0.9616</v>
      </c>
      <c r="I442" t="n">
        <v>0.265279</v>
      </c>
      <c r="J442" t="n">
        <v>0.0358</v>
      </c>
      <c r="K442" t="n">
        <v>0.019382</v>
      </c>
      <c r="L442" t="n">
        <v>1.5737</v>
      </c>
      <c r="M442" t="n">
        <v>0.2531</v>
      </c>
      <c r="N442" t="n">
        <v>0.3982</v>
      </c>
      <c r="O442" t="inlineStr">
        <is>
          <t>WATCH</t>
        </is>
      </c>
    </row>
    <row r="443">
      <c r="A443" t="n">
        <v>27491436</v>
      </c>
      <c r="B443" t="n">
        <v>442</v>
      </c>
      <c r="C443" t="n">
        <v>5382</v>
      </c>
      <c r="D443" t="n">
        <v>1371</v>
      </c>
      <c r="E443" t="n">
        <v>24</v>
      </c>
      <c r="F443" t="n">
        <v>1.5076</v>
      </c>
      <c r="G443" s="30" t="n">
        <v>0.000312</v>
      </c>
      <c r="H443" s="14" t="n">
        <v>0.9619</v>
      </c>
      <c r="I443" t="n">
        <v>0.254738</v>
      </c>
      <c r="J443" t="n">
        <v>0.0175</v>
      </c>
      <c r="K443" t="n">
        <v>0.062815</v>
      </c>
      <c r="L443" t="n">
        <v>0.8831</v>
      </c>
      <c r="M443" t="n">
        <v>0.5628</v>
      </c>
      <c r="N443" t="n">
        <v>0.497</v>
      </c>
      <c r="O443" t="inlineStr">
        <is>
          <t>WATCH</t>
        </is>
      </c>
    </row>
    <row r="444">
      <c r="A444" t="n">
        <v>32135669</v>
      </c>
      <c r="B444" t="n">
        <v>443</v>
      </c>
      <c r="C444" t="n">
        <v>2620</v>
      </c>
      <c r="D444" t="n">
        <v>955</v>
      </c>
      <c r="E444" t="n">
        <v>175</v>
      </c>
      <c r="F444" t="n">
        <v>1.5022</v>
      </c>
      <c r="G444" s="30" t="n">
        <v>0.000311</v>
      </c>
      <c r="H444" s="14" t="n">
        <v>0.9622000000000001</v>
      </c>
      <c r="I444" t="n">
        <v>0.364504</v>
      </c>
      <c r="J444" t="n">
        <v>0.1832</v>
      </c>
      <c r="K444" t="n">
        <v>0.008584</v>
      </c>
      <c r="L444" t="n">
        <v>2.065</v>
      </c>
      <c r="M444" t="n">
        <v>0.2114</v>
      </c>
      <c r="N444" t="n">
        <v>0.4366</v>
      </c>
      <c r="O444" t="inlineStr">
        <is>
          <t>GROW</t>
        </is>
      </c>
    </row>
    <row r="445">
      <c r="A445" t="n">
        <v>26874680</v>
      </c>
      <c r="B445" t="n">
        <v>444</v>
      </c>
      <c r="C445" t="n">
        <v>11239</v>
      </c>
      <c r="D445" t="n">
        <v>3352</v>
      </c>
      <c r="E445" t="n">
        <v>90</v>
      </c>
      <c r="F445" t="n">
        <v>1.4715</v>
      </c>
      <c r="G445" s="30" t="n">
        <v>0.000305</v>
      </c>
      <c r="H445" s="14" t="n">
        <v>0.9625</v>
      </c>
      <c r="I445" t="n">
        <v>0.298247</v>
      </c>
      <c r="J445" t="n">
        <v>0.0268</v>
      </c>
      <c r="K445" t="n">
        <v>0.01635</v>
      </c>
      <c r="L445" t="n">
        <v>0.5746</v>
      </c>
      <c r="M445" t="n">
        <v>0.3274</v>
      </c>
      <c r="N445" t="n">
        <v>0.1881</v>
      </c>
      <c r="O445" t="inlineStr">
        <is>
          <t>GROW</t>
        </is>
      </c>
    </row>
    <row r="446">
      <c r="A446" t="n">
        <v>31129939</v>
      </c>
      <c r="B446" t="n">
        <v>445</v>
      </c>
      <c r="C446" t="n">
        <v>5452</v>
      </c>
      <c r="D446" t="n">
        <v>1662</v>
      </c>
      <c r="E446" t="n">
        <v>32</v>
      </c>
      <c r="F446" t="n">
        <v>1.4693</v>
      </c>
      <c r="G446" s="30" t="n">
        <v>0.000304</v>
      </c>
      <c r="H446" s="14" t="n">
        <v>0.9628</v>
      </c>
      <c r="I446" t="n">
        <v>0.304842</v>
      </c>
      <c r="J446" t="n">
        <v>0.0193</v>
      </c>
      <c r="K446" t="n">
        <v>0.045914</v>
      </c>
      <c r="L446" t="n">
        <v>0.6249</v>
      </c>
      <c r="M446" t="n">
        <v>0.4148</v>
      </c>
      <c r="N446" t="n">
        <v>0.2592</v>
      </c>
      <c r="O446" t="inlineStr">
        <is>
          <t>WATCH</t>
        </is>
      </c>
    </row>
    <row r="447">
      <c r="A447" t="n">
        <v>30534043</v>
      </c>
      <c r="B447" t="n">
        <v>446</v>
      </c>
      <c r="C447" t="n">
        <v>7092</v>
      </c>
      <c r="D447" t="n">
        <v>5236</v>
      </c>
      <c r="E447" t="n">
        <v>391</v>
      </c>
      <c r="F447" t="n">
        <v>1.4674</v>
      </c>
      <c r="G447" s="30" t="n">
        <v>0.000304</v>
      </c>
      <c r="H447" s="14" t="n">
        <v>0.9631</v>
      </c>
      <c r="I447" t="n">
        <v>0.738297</v>
      </c>
      <c r="J447" t="n">
        <v>0.0747</v>
      </c>
      <c r="K447" t="n">
        <v>0.003753</v>
      </c>
      <c r="L447" t="n">
        <v>1.6572</v>
      </c>
      <c r="M447" t="n">
        <v>0.2166</v>
      </c>
      <c r="N447" t="n">
        <v>0.3589</v>
      </c>
      <c r="O447" t="inlineStr">
        <is>
          <t>GROW</t>
        </is>
      </c>
    </row>
    <row r="448">
      <c r="A448" t="n">
        <v>2073328</v>
      </c>
      <c r="B448" t="n">
        <v>447</v>
      </c>
      <c r="C448" t="n">
        <v>14469</v>
      </c>
      <c r="D448" t="n">
        <v>2522</v>
      </c>
      <c r="E448" t="n">
        <v>960</v>
      </c>
      <c r="F448" t="n">
        <v>1.4605</v>
      </c>
      <c r="G448" s="30" t="n">
        <v>0.000302</v>
      </c>
      <c r="H448" s="14" t="n">
        <v>0.9634</v>
      </c>
      <c r="I448" t="n">
        <v>0.174304</v>
      </c>
      <c r="J448" t="n">
        <v>0.3807</v>
      </c>
      <c r="K448" t="n">
        <v>0.001521</v>
      </c>
      <c r="L448" t="n">
        <v>3.0948</v>
      </c>
      <c r="M448" t="n">
        <v>0.1623</v>
      </c>
      <c r="N448" t="n">
        <v>0.5024</v>
      </c>
      <c r="O448" t="inlineStr">
        <is>
          <t>GROW</t>
        </is>
      </c>
    </row>
    <row r="449">
      <c r="A449" t="n">
        <v>73327</v>
      </c>
      <c r="B449" t="n">
        <v>448</v>
      </c>
      <c r="C449" t="n">
        <v>7395</v>
      </c>
      <c r="D449" t="n">
        <v>1699</v>
      </c>
      <c r="E449" t="n">
        <v>660</v>
      </c>
      <c r="F449" t="n">
        <v>1.4541</v>
      </c>
      <c r="G449" s="30" t="n">
        <v>0.000301</v>
      </c>
      <c r="H449" s="14" t="n">
        <v>0.9637</v>
      </c>
      <c r="I449" t="n">
        <v>0.22975</v>
      </c>
      <c r="J449" t="n">
        <v>0.3885</v>
      </c>
      <c r="K449" t="n">
        <v>0.002203</v>
      </c>
      <c r="L449" t="n">
        <v>1.4459</v>
      </c>
      <c r="M449" t="n">
        <v>0.2698</v>
      </c>
      <c r="N449" t="n">
        <v>0.3902</v>
      </c>
      <c r="O449" t="inlineStr">
        <is>
          <t>GROW</t>
        </is>
      </c>
    </row>
    <row r="450">
      <c r="A450" t="n">
        <v>31452108</v>
      </c>
      <c r="B450" t="n">
        <v>449</v>
      </c>
      <c r="C450" t="n">
        <v>4347</v>
      </c>
      <c r="D450" t="n">
        <v>1354</v>
      </c>
      <c r="E450" t="n">
        <v>184</v>
      </c>
      <c r="F450" t="n">
        <v>1.4506</v>
      </c>
      <c r="G450" s="30" t="n">
        <v>0.0003</v>
      </c>
      <c r="H450" s="14" t="n">
        <v>0.964</v>
      </c>
      <c r="I450" t="n">
        <v>0.311479</v>
      </c>
      <c r="J450" t="n">
        <v>0.1359</v>
      </c>
      <c r="K450" t="n">
        <v>0.007884</v>
      </c>
      <c r="L450" t="n">
        <v>0.7482</v>
      </c>
      <c r="M450" t="n">
        <v>0.3925</v>
      </c>
      <c r="N450" t="n">
        <v>0.2937</v>
      </c>
      <c r="O450" t="inlineStr">
        <is>
          <t>GROW</t>
        </is>
      </c>
    </row>
    <row r="451">
      <c r="A451" t="n">
        <v>29513915</v>
      </c>
      <c r="B451" t="n">
        <v>450</v>
      </c>
      <c r="C451" t="n">
        <v>4174</v>
      </c>
      <c r="D451" t="n">
        <v>1799</v>
      </c>
      <c r="E451" t="n">
        <v>77</v>
      </c>
      <c r="F451" t="n">
        <v>1.4497</v>
      </c>
      <c r="G451" s="30" t="n">
        <v>0.0003</v>
      </c>
      <c r="H451" s="14" t="n">
        <v>0.9643</v>
      </c>
      <c r="I451" t="n">
        <v>0.431001</v>
      </c>
      <c r="J451" t="n">
        <v>0.0428</v>
      </c>
      <c r="K451" t="n">
        <v>0.018828</v>
      </c>
      <c r="L451" t="n">
        <v>0.1915</v>
      </c>
      <c r="M451" t="n">
        <v>0.6722</v>
      </c>
      <c r="N451" t="n">
        <v>0.1287</v>
      </c>
      <c r="O451" t="inlineStr">
        <is>
          <t>WATCH</t>
        </is>
      </c>
    </row>
    <row r="452">
      <c r="A452" t="n">
        <v>8877966</v>
      </c>
      <c r="B452" t="n">
        <v>451</v>
      </c>
      <c r="C452" t="n">
        <v>2824</v>
      </c>
      <c r="D452" t="n">
        <v>1259</v>
      </c>
      <c r="E452" t="n">
        <v>19</v>
      </c>
      <c r="F452" t="n">
        <v>1.435</v>
      </c>
      <c r="G452" s="30" t="n">
        <v>0.000297</v>
      </c>
      <c r="H452" s="14" t="n">
        <v>0.9646</v>
      </c>
      <c r="I452" t="n">
        <v>0.445822</v>
      </c>
      <c r="J452" t="n">
        <v>0.0151</v>
      </c>
      <c r="K452" t="n">
        <v>0.075528</v>
      </c>
      <c r="L452" t="n">
        <v>1.555</v>
      </c>
      <c r="M452" t="n">
        <v>0.2971</v>
      </c>
      <c r="N452" t="n">
        <v>0.462</v>
      </c>
      <c r="O452" t="inlineStr">
        <is>
          <t>WATCH</t>
        </is>
      </c>
    </row>
    <row r="453">
      <c r="A453" t="n">
        <v>12351511</v>
      </c>
      <c r="B453" t="n">
        <v>452</v>
      </c>
      <c r="C453" t="n">
        <v>4383</v>
      </c>
      <c r="D453" t="n">
        <v>1724</v>
      </c>
      <c r="E453" t="n">
        <v>90</v>
      </c>
      <c r="F453" t="n">
        <v>1.4296</v>
      </c>
      <c r="G453" s="30" t="n">
        <v>0.000296</v>
      </c>
      <c r="H453" s="14" t="n">
        <v>0.9649</v>
      </c>
      <c r="I453" t="n">
        <v>0.393338</v>
      </c>
      <c r="J453" t="n">
        <v>0.0522</v>
      </c>
      <c r="K453" t="n">
        <v>0.015885</v>
      </c>
      <c r="L453" t="n">
        <v>0.1937</v>
      </c>
      <c r="M453" t="n">
        <v>0.4852</v>
      </c>
      <c r="N453" t="n">
        <v>0.094</v>
      </c>
      <c r="O453" t="inlineStr">
        <is>
          <t>GROW</t>
        </is>
      </c>
    </row>
    <row r="454">
      <c r="A454" t="n">
        <v>17132179</v>
      </c>
      <c r="B454" t="n">
        <v>453</v>
      </c>
      <c r="C454" t="n">
        <v>3678</v>
      </c>
      <c r="D454" t="n">
        <v>751</v>
      </c>
      <c r="E454" t="n">
        <v>31</v>
      </c>
      <c r="F454" t="n">
        <v>1.4277</v>
      </c>
      <c r="G454" s="30" t="n">
        <v>0.000296</v>
      </c>
      <c r="H454" s="14" t="n">
        <v>0.9651999999999999</v>
      </c>
      <c r="I454" t="n">
        <v>0.204187</v>
      </c>
      <c r="J454" t="n">
        <v>0.0413</v>
      </c>
      <c r="K454" t="n">
        <v>0.046055</v>
      </c>
      <c r="L454" t="n">
        <v>1.688</v>
      </c>
      <c r="M454" t="n">
        <v>0.2548</v>
      </c>
      <c r="N454" t="n">
        <v>0.4301</v>
      </c>
      <c r="O454" t="inlineStr">
        <is>
          <t>WATCH</t>
        </is>
      </c>
    </row>
    <row r="455">
      <c r="A455" t="n">
        <v>20898399</v>
      </c>
      <c r="B455" t="n">
        <v>454</v>
      </c>
      <c r="C455" t="n">
        <v>5089</v>
      </c>
      <c r="D455" t="n">
        <v>1257</v>
      </c>
      <c r="E455" t="n">
        <v>63</v>
      </c>
      <c r="F455" t="n">
        <v>1.4251</v>
      </c>
      <c r="G455" s="30" t="n">
        <v>0.000295</v>
      </c>
      <c r="H455" s="14" t="n">
        <v>0.9655</v>
      </c>
      <c r="I455" t="n">
        <v>0.247003</v>
      </c>
      <c r="J455" t="n">
        <v>0.0501</v>
      </c>
      <c r="K455" t="n">
        <v>0.022621</v>
      </c>
      <c r="L455" t="n">
        <v>1.0256</v>
      </c>
      <c r="M455" t="n">
        <v>0.3135</v>
      </c>
      <c r="N455" t="n">
        <v>0.3215</v>
      </c>
      <c r="O455" t="inlineStr">
        <is>
          <t>WATCH</t>
        </is>
      </c>
    </row>
    <row r="456">
      <c r="A456" t="n">
        <v>26534046</v>
      </c>
      <c r="B456" t="n">
        <v>455</v>
      </c>
      <c r="C456" t="n">
        <v>6203</v>
      </c>
      <c r="D456" t="n">
        <v>2030</v>
      </c>
      <c r="E456" t="n">
        <v>62</v>
      </c>
      <c r="F456" t="n">
        <v>1.4241</v>
      </c>
      <c r="G456" s="30" t="n">
        <v>0.000295</v>
      </c>
      <c r="H456" s="14" t="n">
        <v>0.9658</v>
      </c>
      <c r="I456" t="n">
        <v>0.327261</v>
      </c>
      <c r="J456" t="n">
        <v>0.0305</v>
      </c>
      <c r="K456" t="n">
        <v>0.022969</v>
      </c>
      <c r="L456" t="n">
        <v>0.7769</v>
      </c>
      <c r="M456" t="n">
        <v>0.3643</v>
      </c>
      <c r="N456" t="n">
        <v>0.2831</v>
      </c>
      <c r="O456" t="inlineStr">
        <is>
          <t>WATCH</t>
        </is>
      </c>
    </row>
    <row r="457">
      <c r="A457" t="n">
        <v>28795047</v>
      </c>
      <c r="B457" t="n">
        <v>456</v>
      </c>
      <c r="C457" t="n">
        <v>2470</v>
      </c>
      <c r="D457" t="n">
        <v>942</v>
      </c>
      <c r="E457" t="n">
        <v>35</v>
      </c>
      <c r="F457" t="n">
        <v>1.4189</v>
      </c>
      <c r="G457" s="30" t="n">
        <v>0.000294</v>
      </c>
      <c r="H457" s="14" t="n">
        <v>0.9661</v>
      </c>
      <c r="I457" t="n">
        <v>0.381377</v>
      </c>
      <c r="J457" t="n">
        <v>0.0372</v>
      </c>
      <c r="K457" t="n">
        <v>0.04054</v>
      </c>
      <c r="L457" t="n">
        <v>0.2822</v>
      </c>
      <c r="M457" t="n">
        <v>0.6626</v>
      </c>
      <c r="N457" t="n">
        <v>0.187</v>
      </c>
      <c r="O457" t="inlineStr">
        <is>
          <t>WATCH</t>
        </is>
      </c>
    </row>
    <row r="458">
      <c r="A458" t="n">
        <v>24391301</v>
      </c>
      <c r="B458" t="n">
        <v>457</v>
      </c>
      <c r="C458" t="n">
        <v>10648</v>
      </c>
      <c r="D458" t="n">
        <v>2539</v>
      </c>
      <c r="E458" t="n">
        <v>73</v>
      </c>
      <c r="F458" t="n">
        <v>1.3966</v>
      </c>
      <c r="G458" s="30" t="n">
        <v>0.000289</v>
      </c>
      <c r="H458" s="14" t="n">
        <v>0.9664</v>
      </c>
      <c r="I458" t="n">
        <v>0.238449</v>
      </c>
      <c r="J458" t="n">
        <v>0.0288</v>
      </c>
      <c r="K458" t="n">
        <v>0.019131</v>
      </c>
      <c r="L458" t="n">
        <v>1.5129</v>
      </c>
      <c r="M458" t="n">
        <v>0.2408</v>
      </c>
      <c r="N458" t="n">
        <v>0.3643</v>
      </c>
      <c r="O458" t="inlineStr">
        <is>
          <t>WATCH</t>
        </is>
      </c>
    </row>
    <row r="459">
      <c r="A459" t="n">
        <v>3694557</v>
      </c>
      <c r="B459" t="n">
        <v>458</v>
      </c>
      <c r="C459" t="n">
        <v>3688</v>
      </c>
      <c r="D459" t="n">
        <v>1961</v>
      </c>
      <c r="E459" t="n">
        <v>460</v>
      </c>
      <c r="F459" t="n">
        <v>1.3906</v>
      </c>
      <c r="G459" s="30" t="n">
        <v>0.000288</v>
      </c>
      <c r="H459" s="14" t="n">
        <v>0.9667</v>
      </c>
      <c r="I459" t="n">
        <v>0.531725</v>
      </c>
      <c r="J459" t="n">
        <v>0.2346</v>
      </c>
      <c r="K459" t="n">
        <v>0.003023</v>
      </c>
      <c r="L459" t="n">
        <v>0.6526</v>
      </c>
      <c r="M459" t="n">
        <v>0.3878</v>
      </c>
      <c r="N459" t="n">
        <v>0.2531</v>
      </c>
      <c r="O459" t="inlineStr">
        <is>
          <t>GROW</t>
        </is>
      </c>
    </row>
    <row r="460">
      <c r="A460" t="n">
        <v>6697149</v>
      </c>
      <c r="B460" t="n">
        <v>459</v>
      </c>
      <c r="C460" t="n">
        <v>5575</v>
      </c>
      <c r="D460" t="n">
        <v>1688</v>
      </c>
      <c r="E460" t="n">
        <v>54</v>
      </c>
      <c r="F460" t="n">
        <v>1.3879</v>
      </c>
      <c r="G460" s="30" t="n">
        <v>0.000287</v>
      </c>
      <c r="H460" s="14" t="n">
        <v>0.967</v>
      </c>
      <c r="I460" t="n">
        <v>0.30278</v>
      </c>
      <c r="J460" t="n">
        <v>0.032</v>
      </c>
      <c r="K460" t="n">
        <v>0.025701</v>
      </c>
      <c r="L460" t="n">
        <v>0.89</v>
      </c>
      <c r="M460" t="n">
        <v>0.3075</v>
      </c>
      <c r="N460" t="n">
        <v>0.2737</v>
      </c>
      <c r="O460" t="inlineStr">
        <is>
          <t>WATCH</t>
        </is>
      </c>
    </row>
    <row r="461">
      <c r="A461" t="n">
        <v>23346188</v>
      </c>
      <c r="B461" t="n">
        <v>460</v>
      </c>
      <c r="C461" t="n">
        <v>3736</v>
      </c>
      <c r="D461" t="n">
        <v>1383</v>
      </c>
      <c r="E461" t="n">
        <v>21</v>
      </c>
      <c r="F461" t="n">
        <v>1.3798</v>
      </c>
      <c r="G461" s="30" t="n">
        <v>0.000286</v>
      </c>
      <c r="H461" s="14" t="n">
        <v>0.9671999999999999</v>
      </c>
      <c r="I461" t="n">
        <v>0.370182</v>
      </c>
      <c r="J461" t="n">
        <v>0.0152</v>
      </c>
      <c r="K461" t="n">
        <v>0.065703</v>
      </c>
      <c r="L461" t="n">
        <v>0.9193</v>
      </c>
      <c r="M461" t="n">
        <v>0.4208</v>
      </c>
      <c r="N461" t="n">
        <v>0.3869</v>
      </c>
      <c r="O461" t="inlineStr">
        <is>
          <t>WATCH</t>
        </is>
      </c>
    </row>
    <row r="462">
      <c r="A462" t="n">
        <v>2144729</v>
      </c>
      <c r="B462" t="n">
        <v>461</v>
      </c>
      <c r="C462" t="n">
        <v>15177</v>
      </c>
      <c r="D462" t="n">
        <v>1704</v>
      </c>
      <c r="E462" t="n">
        <v>252</v>
      </c>
      <c r="F462" t="n">
        <v>1.3531</v>
      </c>
      <c r="G462" s="30" t="n">
        <v>0.00028</v>
      </c>
      <c r="H462" s="14" t="n">
        <v>0.9675</v>
      </c>
      <c r="I462" t="n">
        <v>0.112275</v>
      </c>
      <c r="J462" t="n">
        <v>0.1479</v>
      </c>
      <c r="K462" t="n">
        <v>0.00537</v>
      </c>
      <c r="L462" t="n">
        <v>0.5464</v>
      </c>
      <c r="M462" t="n">
        <v>0.4561</v>
      </c>
      <c r="N462" t="n">
        <v>0.2492</v>
      </c>
      <c r="O462" t="inlineStr">
        <is>
          <t>GROW</t>
        </is>
      </c>
    </row>
    <row r="463">
      <c r="A463" t="n">
        <v>5743152</v>
      </c>
      <c r="B463" t="n">
        <v>462</v>
      </c>
      <c r="C463" t="n">
        <v>2544</v>
      </c>
      <c r="D463" t="n">
        <v>785</v>
      </c>
      <c r="E463" t="n">
        <v>28</v>
      </c>
      <c r="F463" t="n">
        <v>1.3511</v>
      </c>
      <c r="G463" s="30" t="n">
        <v>0.00028</v>
      </c>
      <c r="H463" s="14" t="n">
        <v>0.9678</v>
      </c>
      <c r="I463" t="n">
        <v>0.308569</v>
      </c>
      <c r="J463" t="n">
        <v>0.0357</v>
      </c>
      <c r="K463" t="n">
        <v>0.048252</v>
      </c>
      <c r="L463" t="n">
        <v>0.4872</v>
      </c>
      <c r="M463" t="n">
        <v>0.4328</v>
      </c>
      <c r="N463" t="n">
        <v>0.2109</v>
      </c>
      <c r="O463" t="inlineStr">
        <is>
          <t>WATCH</t>
        </is>
      </c>
    </row>
    <row r="464">
      <c r="A464" t="n">
        <v>11765782</v>
      </c>
      <c r="B464" t="n">
        <v>463</v>
      </c>
      <c r="C464" t="n">
        <v>3551</v>
      </c>
      <c r="D464" t="n">
        <v>1802</v>
      </c>
      <c r="E464" t="n">
        <v>167</v>
      </c>
      <c r="F464" t="n">
        <v>1.3468</v>
      </c>
      <c r="G464" s="30" t="n">
        <v>0.000279</v>
      </c>
      <c r="H464" s="14" t="n">
        <v>0.9681</v>
      </c>
      <c r="I464" t="n">
        <v>0.507463</v>
      </c>
      <c r="J464" t="n">
        <v>0.0927</v>
      </c>
      <c r="K464" t="n">
        <v>0.008064999999999999</v>
      </c>
      <c r="L464" t="n">
        <v>0.513</v>
      </c>
      <c r="M464" t="n">
        <v>0.3611</v>
      </c>
      <c r="N464" t="n">
        <v>0.1852</v>
      </c>
      <c r="O464" t="inlineStr">
        <is>
          <t>GROW</t>
        </is>
      </c>
    </row>
    <row r="465">
      <c r="A465" t="n">
        <v>19129845</v>
      </c>
      <c r="B465" t="n">
        <v>464</v>
      </c>
      <c r="C465" t="n">
        <v>4555</v>
      </c>
      <c r="D465" t="n">
        <v>1047</v>
      </c>
      <c r="E465" t="n">
        <v>25</v>
      </c>
      <c r="F465" t="n">
        <v>1.3453</v>
      </c>
      <c r="G465" s="30" t="n">
        <v>0.000279</v>
      </c>
      <c r="H465" s="14" t="n">
        <v>0.9684</v>
      </c>
      <c r="I465" t="n">
        <v>0.229857</v>
      </c>
      <c r="J465" t="n">
        <v>0.0239</v>
      </c>
      <c r="K465" t="n">
        <v>0.05381</v>
      </c>
      <c r="L465" t="n">
        <v>0.7595</v>
      </c>
      <c r="M465" t="n">
        <v>0.3363</v>
      </c>
      <c r="N465" t="n">
        <v>0.2554</v>
      </c>
      <c r="O465" t="inlineStr">
        <is>
          <t>WATCH</t>
        </is>
      </c>
    </row>
    <row r="466">
      <c r="A466" t="n">
        <v>16920604</v>
      </c>
      <c r="B466" t="n">
        <v>465</v>
      </c>
      <c r="C466" t="n">
        <v>4861</v>
      </c>
      <c r="D466" t="n">
        <v>1526</v>
      </c>
      <c r="E466" t="n">
        <v>79</v>
      </c>
      <c r="F466" t="n">
        <v>1.3443</v>
      </c>
      <c r="G466" s="30" t="n">
        <v>0.000278</v>
      </c>
      <c r="H466" s="14" t="n">
        <v>0.9686</v>
      </c>
      <c r="I466" t="n">
        <v>0.313927</v>
      </c>
      <c r="J466" t="n">
        <v>0.0518</v>
      </c>
      <c r="K466" t="n">
        <v>0.017017</v>
      </c>
      <c r="L466" t="n">
        <v>0.3518</v>
      </c>
      <c r="M466" t="n">
        <v>0.5626</v>
      </c>
      <c r="N466" t="n">
        <v>0.1979</v>
      </c>
      <c r="O466" t="inlineStr">
        <is>
          <t>GROW</t>
        </is>
      </c>
    </row>
    <row r="467">
      <c r="A467" t="n">
        <v>4466870</v>
      </c>
      <c r="B467" t="n">
        <v>466</v>
      </c>
      <c r="C467" t="n">
        <v>7170</v>
      </c>
      <c r="D467" t="n">
        <v>1957</v>
      </c>
      <c r="E467" t="n">
        <v>30</v>
      </c>
      <c r="F467" t="n">
        <v>1.3362</v>
      </c>
      <c r="G467" s="30" t="n">
        <v>0.000277</v>
      </c>
      <c r="H467" s="14" t="n">
        <v>0.9689</v>
      </c>
      <c r="I467" t="n">
        <v>0.272943</v>
      </c>
      <c r="J467" t="n">
        <v>0.0153</v>
      </c>
      <c r="K467" t="n">
        <v>0.04454</v>
      </c>
      <c r="L467" t="n">
        <v>0.3202</v>
      </c>
      <c r="M467" t="n">
        <v>0.4333</v>
      </c>
      <c r="N467" t="n">
        <v>0.1387</v>
      </c>
      <c r="O467" t="inlineStr">
        <is>
          <t>WATCH</t>
        </is>
      </c>
    </row>
    <row r="468">
      <c r="A468" t="n">
        <v>11746439</v>
      </c>
      <c r="B468" t="n">
        <v>467</v>
      </c>
      <c r="C468" t="n">
        <v>2102</v>
      </c>
      <c r="D468" t="n">
        <v>582</v>
      </c>
      <c r="E468" t="n">
        <v>47</v>
      </c>
      <c r="F468" t="n">
        <v>1.3355</v>
      </c>
      <c r="G468" s="30" t="n">
        <v>0.000277</v>
      </c>
      <c r="H468" s="14" t="n">
        <v>0.9692</v>
      </c>
      <c r="I468" t="n">
        <v>0.276879</v>
      </c>
      <c r="J468" t="n">
        <v>0.0808</v>
      </c>
      <c r="K468" t="n">
        <v>0.028415</v>
      </c>
      <c r="L468" t="n">
        <v>1.411</v>
      </c>
      <c r="M468" t="n">
        <v>0.2629</v>
      </c>
      <c r="N468" t="n">
        <v>0.371</v>
      </c>
      <c r="O468" t="inlineStr">
        <is>
          <t>WATCH</t>
        </is>
      </c>
    </row>
    <row r="469">
      <c r="A469" t="n">
        <v>6513183</v>
      </c>
      <c r="B469" t="n">
        <v>468</v>
      </c>
      <c r="C469" t="n">
        <v>6753</v>
      </c>
      <c r="D469" t="n">
        <v>921</v>
      </c>
      <c r="E469" t="n">
        <v>17</v>
      </c>
      <c r="F469" t="n">
        <v>1.3272</v>
      </c>
      <c r="G469" s="30" t="n">
        <v>0.000275</v>
      </c>
      <c r="H469" s="14" t="n">
        <v>0.9695</v>
      </c>
      <c r="I469" t="n">
        <v>0.136384</v>
      </c>
      <c r="J469" t="n">
        <v>0.0185</v>
      </c>
      <c r="K469" t="n">
        <v>0.078073</v>
      </c>
      <c r="L469" t="n">
        <v>0.6869</v>
      </c>
      <c r="M469" t="n">
        <v>0.3551</v>
      </c>
      <c r="N469" t="n">
        <v>0.2439</v>
      </c>
      <c r="O469" t="inlineStr">
        <is>
          <t>WATCH</t>
        </is>
      </c>
    </row>
    <row r="470">
      <c r="A470" t="n">
        <v>30810420</v>
      </c>
      <c r="B470" t="n">
        <v>469</v>
      </c>
      <c r="C470" t="n">
        <v>9593</v>
      </c>
      <c r="D470" t="n">
        <v>3033</v>
      </c>
      <c r="E470" t="n">
        <v>55</v>
      </c>
      <c r="F470" t="n">
        <v>1.3221</v>
      </c>
      <c r="G470" s="30" t="n">
        <v>0.000274</v>
      </c>
      <c r="H470" s="14" t="n">
        <v>0.9697</v>
      </c>
      <c r="I470" t="n">
        <v>0.316168</v>
      </c>
      <c r="J470" t="n">
        <v>0.0181</v>
      </c>
      <c r="K470" t="n">
        <v>0.024039</v>
      </c>
      <c r="L470" t="n">
        <v>3.4036</v>
      </c>
      <c r="M470" t="n">
        <v>0.1336</v>
      </c>
      <c r="N470" t="n">
        <v>0.4546</v>
      </c>
      <c r="O470" t="inlineStr">
        <is>
          <t>WATCH</t>
        </is>
      </c>
    </row>
    <row r="471">
      <c r="A471" t="n">
        <v>7869916</v>
      </c>
      <c r="B471" t="n">
        <v>470</v>
      </c>
      <c r="C471" t="n">
        <v>2822</v>
      </c>
      <c r="D471" t="n">
        <v>924</v>
      </c>
      <c r="E471" t="n">
        <v>33</v>
      </c>
      <c r="F471" t="n">
        <v>1.322</v>
      </c>
      <c r="G471" s="30" t="n">
        <v>0.000274</v>
      </c>
      <c r="H471" s="14" t="n">
        <v>0.97</v>
      </c>
      <c r="I471" t="n">
        <v>0.327427</v>
      </c>
      <c r="J471" t="n">
        <v>0.0357</v>
      </c>
      <c r="K471" t="n">
        <v>0.040062</v>
      </c>
      <c r="L471" t="n">
        <v>0.391</v>
      </c>
      <c r="M471" t="n">
        <v>0.5613</v>
      </c>
      <c r="N471" t="n">
        <v>0.2195</v>
      </c>
      <c r="O471" t="inlineStr">
        <is>
          <t>WATCH</t>
        </is>
      </c>
    </row>
    <row r="472">
      <c r="A472" t="n">
        <v>3406182</v>
      </c>
      <c r="B472" t="n">
        <v>471</v>
      </c>
      <c r="C472" t="n">
        <v>7111</v>
      </c>
      <c r="D472" t="n">
        <v>2177</v>
      </c>
      <c r="E472" t="n">
        <v>77</v>
      </c>
      <c r="F472" t="n">
        <v>1.3219</v>
      </c>
      <c r="G472" s="30" t="n">
        <v>0.000274</v>
      </c>
      <c r="H472" s="14" t="n">
        <v>0.9703000000000001</v>
      </c>
      <c r="I472" t="n">
        <v>0.306145</v>
      </c>
      <c r="J472" t="n">
        <v>0.0354</v>
      </c>
      <c r="K472" t="n">
        <v>0.017167</v>
      </c>
      <c r="L472" t="n">
        <v>1.3981</v>
      </c>
      <c r="M472" t="n">
        <v>0.23</v>
      </c>
      <c r="N472" t="n">
        <v>0.3216</v>
      </c>
      <c r="O472" t="inlineStr">
        <is>
          <t>GROW</t>
        </is>
      </c>
    </row>
    <row r="473">
      <c r="A473" t="n">
        <v>14398567</v>
      </c>
      <c r="B473" t="n">
        <v>472</v>
      </c>
      <c r="C473" t="n">
        <v>4650</v>
      </c>
      <c r="D473" t="n">
        <v>1307</v>
      </c>
      <c r="E473" t="n">
        <v>165</v>
      </c>
      <c r="F473" t="n">
        <v>1.3206</v>
      </c>
      <c r="G473" s="30" t="n">
        <v>0.000273</v>
      </c>
      <c r="H473" s="14" t="n">
        <v>0.9706</v>
      </c>
      <c r="I473" t="n">
        <v>0.281075</v>
      </c>
      <c r="J473" t="n">
        <v>0.1262</v>
      </c>
      <c r="K473" t="n">
        <v>0.008004000000000001</v>
      </c>
      <c r="L473" t="n">
        <v>5.722</v>
      </c>
      <c r="M473" t="n">
        <v>0.1357</v>
      </c>
      <c r="N473" t="n">
        <v>0.7766</v>
      </c>
      <c r="O473" t="inlineStr">
        <is>
          <t>GROW</t>
        </is>
      </c>
    </row>
    <row r="474">
      <c r="A474" t="n">
        <v>9100694</v>
      </c>
      <c r="B474" t="n">
        <v>473</v>
      </c>
      <c r="C474" t="n">
        <v>6051</v>
      </c>
      <c r="D474" t="n">
        <v>2319</v>
      </c>
      <c r="E474" t="n">
        <v>49</v>
      </c>
      <c r="F474" t="n">
        <v>1.3202</v>
      </c>
      <c r="G474" s="30" t="n">
        <v>0.000273</v>
      </c>
      <c r="H474" s="14" t="n">
        <v>0.9708</v>
      </c>
      <c r="I474" t="n">
        <v>0.383242</v>
      </c>
      <c r="J474" t="n">
        <v>0.0211</v>
      </c>
      <c r="K474" t="n">
        <v>0.026943</v>
      </c>
      <c r="L474" t="n">
        <v>0.4917</v>
      </c>
      <c r="M474" t="n">
        <v>0.48</v>
      </c>
      <c r="N474" t="n">
        <v>0.2361</v>
      </c>
      <c r="O474" t="inlineStr">
        <is>
          <t>WATCH</t>
        </is>
      </c>
    </row>
    <row r="475">
      <c r="A475" t="n">
        <v>29531970</v>
      </c>
      <c r="B475" t="n">
        <v>474</v>
      </c>
      <c r="C475" t="n">
        <v>7531</v>
      </c>
      <c r="D475" t="n">
        <v>2748</v>
      </c>
      <c r="E475" t="n">
        <v>1184</v>
      </c>
      <c r="F475" t="n">
        <v>1.318</v>
      </c>
      <c r="G475" s="30" t="n">
        <v>0.000273</v>
      </c>
      <c r="H475" s="14" t="n">
        <v>0.9711</v>
      </c>
      <c r="I475" t="n">
        <v>0.364892</v>
      </c>
      <c r="J475" t="n">
        <v>0.4309</v>
      </c>
      <c r="K475" t="n">
        <v>0.001113</v>
      </c>
      <c r="L475" t="n">
        <v>0.9282</v>
      </c>
      <c r="M475" t="n">
        <v>0.3273</v>
      </c>
      <c r="N475" t="n">
        <v>0.3038</v>
      </c>
      <c r="O475" t="inlineStr">
        <is>
          <t>GROW</t>
        </is>
      </c>
    </row>
    <row r="476">
      <c r="A476" t="n">
        <v>30405203</v>
      </c>
      <c r="B476" t="n">
        <v>475</v>
      </c>
      <c r="C476" t="n">
        <v>9857</v>
      </c>
      <c r="D476" t="n">
        <v>6839</v>
      </c>
      <c r="E476" t="n">
        <v>1418</v>
      </c>
      <c r="F476" t="n">
        <v>1.3153</v>
      </c>
      <c r="G476" s="30" t="n">
        <v>0.000272</v>
      </c>
      <c r="H476" s="14" t="n">
        <v>0.9714</v>
      </c>
      <c r="I476" t="n">
        <v>0.693822</v>
      </c>
      <c r="J476" t="n">
        <v>0.2073</v>
      </c>
      <c r="K476" t="n">
        <v>0.000928</v>
      </c>
      <c r="L476" t="n">
        <v>0.0007</v>
      </c>
      <c r="M476" t="n">
        <v>0.5258</v>
      </c>
      <c r="N476" t="n">
        <v>0.0004</v>
      </c>
      <c r="O476" t="inlineStr">
        <is>
          <t>GROW</t>
        </is>
      </c>
    </row>
    <row r="477">
      <c r="A477" t="n">
        <v>24119481</v>
      </c>
      <c r="B477" t="n">
        <v>476</v>
      </c>
      <c r="C477" t="n">
        <v>17834</v>
      </c>
      <c r="D477" t="n">
        <v>4760</v>
      </c>
      <c r="E477" t="n">
        <v>73</v>
      </c>
      <c r="F477" t="n">
        <v>1.3131</v>
      </c>
      <c r="G477" s="30" t="n">
        <v>0.000272</v>
      </c>
      <c r="H477" s="14" t="n">
        <v>0.9716</v>
      </c>
      <c r="I477" t="n">
        <v>0.266906</v>
      </c>
      <c r="J477" t="n">
        <v>0.0153</v>
      </c>
      <c r="K477" t="n">
        <v>0.017988</v>
      </c>
      <c r="L477" t="n">
        <v>2.5425</v>
      </c>
      <c r="M477" t="n">
        <v>0.204</v>
      </c>
      <c r="N477" t="n">
        <v>0.5188</v>
      </c>
      <c r="O477" t="inlineStr">
        <is>
          <t>GROW</t>
        </is>
      </c>
    </row>
    <row r="478">
      <c r="A478" t="n">
        <v>26383495</v>
      </c>
      <c r="B478" t="n">
        <v>477</v>
      </c>
      <c r="C478" t="n">
        <v>2560</v>
      </c>
      <c r="D478" t="n">
        <v>927</v>
      </c>
      <c r="E478" t="n">
        <v>22</v>
      </c>
      <c r="F478" t="n">
        <v>1.3033</v>
      </c>
      <c r="G478" s="30" t="n">
        <v>0.00027</v>
      </c>
      <c r="H478" s="14" t="n">
        <v>0.9719</v>
      </c>
      <c r="I478" t="n">
        <v>0.362109</v>
      </c>
      <c r="J478" t="n">
        <v>0.0237</v>
      </c>
      <c r="K478" t="n">
        <v>0.059239</v>
      </c>
      <c r="L478" t="n">
        <v>1.5733</v>
      </c>
      <c r="M478" t="n">
        <v>0.2197</v>
      </c>
      <c r="N478" t="n">
        <v>0.3457</v>
      </c>
      <c r="O478" t="inlineStr">
        <is>
          <t>WATCH</t>
        </is>
      </c>
    </row>
    <row r="479">
      <c r="A479" t="n">
        <v>15885288</v>
      </c>
      <c r="B479" t="n">
        <v>478</v>
      </c>
      <c r="C479" t="n">
        <v>6794</v>
      </c>
      <c r="D479" t="n">
        <v>1995</v>
      </c>
      <c r="E479" t="n">
        <v>30</v>
      </c>
      <c r="F479" t="n">
        <v>1.3008</v>
      </c>
      <c r="G479" s="30" t="n">
        <v>0.000269</v>
      </c>
      <c r="H479" s="14" t="n">
        <v>0.9722</v>
      </c>
      <c r="I479" t="n">
        <v>0.293641</v>
      </c>
      <c r="J479" t="n">
        <v>0.015</v>
      </c>
      <c r="K479" t="n">
        <v>0.043358</v>
      </c>
      <c r="L479" t="n">
        <v>0.7806999999999999</v>
      </c>
      <c r="M479" t="n">
        <v>0.3435</v>
      </c>
      <c r="N479" t="n">
        <v>0.2682</v>
      </c>
      <c r="O479" t="inlineStr">
        <is>
          <t>WATCH</t>
        </is>
      </c>
    </row>
    <row r="480">
      <c r="A480" t="n">
        <v>1716282</v>
      </c>
      <c r="B480" t="n">
        <v>479</v>
      </c>
      <c r="C480" t="n">
        <v>5952</v>
      </c>
      <c r="D480" t="n">
        <v>1396</v>
      </c>
      <c r="E480" t="n">
        <v>14</v>
      </c>
      <c r="F480" t="n">
        <v>1.3004</v>
      </c>
      <c r="G480" s="30" t="n">
        <v>0.000269</v>
      </c>
      <c r="H480" s="14" t="n">
        <v>0.9725</v>
      </c>
      <c r="I480" t="n">
        <v>0.234543</v>
      </c>
      <c r="J480" t="n">
        <v>0.01</v>
      </c>
      <c r="K480" t="n">
        <v>0.092889</v>
      </c>
      <c r="L480" t="n">
        <v>0.7461</v>
      </c>
      <c r="M480" t="n">
        <v>0.3465</v>
      </c>
      <c r="N480" t="n">
        <v>0.2585</v>
      </c>
      <c r="O480" t="inlineStr">
        <is>
          <t>WATCH</t>
        </is>
      </c>
    </row>
    <row r="481">
      <c r="A481" t="n">
        <v>26903589</v>
      </c>
      <c r="B481" t="n">
        <v>480</v>
      </c>
      <c r="C481" t="n">
        <v>2848</v>
      </c>
      <c r="D481" t="n">
        <v>1257</v>
      </c>
      <c r="E481" t="n">
        <v>74</v>
      </c>
      <c r="F481" t="n">
        <v>1.2976</v>
      </c>
      <c r="G481" s="30" t="n">
        <v>0.000269</v>
      </c>
      <c r="H481" s="14" t="n">
        <v>0.9727</v>
      </c>
      <c r="I481" t="n">
        <v>0.441362</v>
      </c>
      <c r="J481" t="n">
        <v>0.0589</v>
      </c>
      <c r="K481" t="n">
        <v>0.017535</v>
      </c>
      <c r="L481" t="n">
        <v>1.2711</v>
      </c>
      <c r="M481" t="n">
        <v>0.2152</v>
      </c>
      <c r="N481" t="n">
        <v>0.2736</v>
      </c>
      <c r="O481" t="inlineStr">
        <is>
          <t>GROW</t>
        </is>
      </c>
    </row>
    <row r="482">
      <c r="A482" t="n">
        <v>20898401</v>
      </c>
      <c r="B482" t="n">
        <v>481</v>
      </c>
      <c r="C482" t="n">
        <v>3599</v>
      </c>
      <c r="D482" t="n">
        <v>888</v>
      </c>
      <c r="E482" t="n">
        <v>47</v>
      </c>
      <c r="F482" t="n">
        <v>1.2941</v>
      </c>
      <c r="G482" s="30" t="n">
        <v>0.000268</v>
      </c>
      <c r="H482" s="14" t="n">
        <v>0.973</v>
      </c>
      <c r="I482" t="n">
        <v>0.246735</v>
      </c>
      <c r="J482" t="n">
        <v>0.0529</v>
      </c>
      <c r="K482" t="n">
        <v>0.027534</v>
      </c>
      <c r="L482" t="n">
        <v>1.2982</v>
      </c>
      <c r="M482" t="n">
        <v>0.2651</v>
      </c>
      <c r="N482" t="n">
        <v>0.3441</v>
      </c>
      <c r="O482" t="inlineStr">
        <is>
          <t>WATCH</t>
        </is>
      </c>
    </row>
    <row r="483">
      <c r="A483" t="n">
        <v>1946547</v>
      </c>
      <c r="B483" t="n">
        <v>482</v>
      </c>
      <c r="C483" t="n">
        <v>10005</v>
      </c>
      <c r="D483" t="n">
        <v>3420</v>
      </c>
      <c r="E483" t="n">
        <v>187</v>
      </c>
      <c r="F483" t="n">
        <v>1.2911</v>
      </c>
      <c r="G483" s="30" t="n">
        <v>0.000267</v>
      </c>
      <c r="H483" s="14" t="n">
        <v>0.9733000000000001</v>
      </c>
      <c r="I483" t="n">
        <v>0.341829</v>
      </c>
      <c r="J483" t="n">
        <v>0.0547</v>
      </c>
      <c r="K483" t="n">
        <v>0.006904</v>
      </c>
      <c r="L483" t="n">
        <v>0.9366</v>
      </c>
      <c r="M483" t="n">
        <v>0.2855</v>
      </c>
      <c r="N483" t="n">
        <v>0.2674</v>
      </c>
      <c r="O483" t="inlineStr">
        <is>
          <t>GROW</t>
        </is>
      </c>
    </row>
    <row r="484">
      <c r="A484" t="n">
        <v>21005924</v>
      </c>
      <c r="B484" t="n">
        <v>483</v>
      </c>
      <c r="C484" t="n">
        <v>1143</v>
      </c>
      <c r="D484" t="n">
        <v>475</v>
      </c>
      <c r="E484" t="n">
        <v>19</v>
      </c>
      <c r="F484" t="n">
        <v>1.2909</v>
      </c>
      <c r="G484" s="30" t="n">
        <v>0.000267</v>
      </c>
      <c r="H484" s="14" t="n">
        <v>0.9735</v>
      </c>
      <c r="I484" t="n">
        <v>0.415573</v>
      </c>
      <c r="J484" t="n">
        <v>0.04</v>
      </c>
      <c r="K484" t="n">
        <v>0.067942</v>
      </c>
      <c r="L484" t="n">
        <v>1.0597</v>
      </c>
      <c r="M484" t="n">
        <v>0.3387</v>
      </c>
      <c r="N484" t="n">
        <v>0.3589</v>
      </c>
      <c r="O484" t="inlineStr">
        <is>
          <t>WATCH</t>
        </is>
      </c>
    </row>
    <row r="485">
      <c r="A485" t="n">
        <v>26383493</v>
      </c>
      <c r="B485" t="n">
        <v>484</v>
      </c>
      <c r="C485" t="n">
        <v>8734</v>
      </c>
      <c r="D485" t="n">
        <v>3678</v>
      </c>
      <c r="E485" t="n">
        <v>132</v>
      </c>
      <c r="F485" t="n">
        <v>1.2711</v>
      </c>
      <c r="G485" s="30" t="n">
        <v>0.000263</v>
      </c>
      <c r="H485" s="14" t="n">
        <v>0.9738</v>
      </c>
      <c r="I485" t="n">
        <v>0.421113</v>
      </c>
      <c r="J485" t="n">
        <v>0.0359</v>
      </c>
      <c r="K485" t="n">
        <v>0.00963</v>
      </c>
      <c r="L485" t="n">
        <v>0.4751</v>
      </c>
      <c r="M485" t="n">
        <v>0.1812</v>
      </c>
      <c r="N485" t="n">
        <v>0.0861</v>
      </c>
      <c r="O485" t="inlineStr">
        <is>
          <t>GROW</t>
        </is>
      </c>
    </row>
    <row r="486">
      <c r="A486" t="n">
        <v>26998435</v>
      </c>
      <c r="B486" t="n">
        <v>485</v>
      </c>
      <c r="C486" t="n">
        <v>6408</v>
      </c>
      <c r="D486" t="n">
        <v>1904</v>
      </c>
      <c r="E486" t="n">
        <v>31</v>
      </c>
      <c r="F486" t="n">
        <v>1.2621</v>
      </c>
      <c r="G486" s="30" t="n">
        <v>0.000261</v>
      </c>
      <c r="H486" s="14" t="n">
        <v>0.9741</v>
      </c>
      <c r="I486" t="n">
        <v>0.297129</v>
      </c>
      <c r="J486" t="n">
        <v>0.0163</v>
      </c>
      <c r="K486" t="n">
        <v>0.040712</v>
      </c>
      <c r="L486" t="n">
        <v>1.1292</v>
      </c>
      <c r="M486" t="n">
        <v>0.233</v>
      </c>
      <c r="N486" t="n">
        <v>0.2631</v>
      </c>
      <c r="O486" t="inlineStr">
        <is>
          <t>WATCH</t>
        </is>
      </c>
    </row>
    <row r="487">
      <c r="A487" t="n">
        <v>7336371</v>
      </c>
      <c r="B487" t="n">
        <v>486</v>
      </c>
      <c r="C487" t="n">
        <v>5694</v>
      </c>
      <c r="D487" t="n">
        <v>2007</v>
      </c>
      <c r="E487" t="n">
        <v>207</v>
      </c>
      <c r="F487" t="n">
        <v>1.246</v>
      </c>
      <c r="G487" s="30" t="n">
        <v>0.000258</v>
      </c>
      <c r="H487" s="14" t="n">
        <v>0.9743000000000001</v>
      </c>
      <c r="I487" t="n">
        <v>0.352476</v>
      </c>
      <c r="J487" t="n">
        <v>0.1031</v>
      </c>
      <c r="K487" t="n">
        <v>0.006019</v>
      </c>
      <c r="L487" t="n">
        <v>1.1874</v>
      </c>
      <c r="M487" t="n">
        <v>0.3061</v>
      </c>
      <c r="N487" t="n">
        <v>0.3634</v>
      </c>
      <c r="O487" t="inlineStr">
        <is>
          <t>GROW</t>
        </is>
      </c>
    </row>
    <row r="488">
      <c r="A488" t="n">
        <v>6121534</v>
      </c>
      <c r="B488" t="n">
        <v>487</v>
      </c>
      <c r="C488" t="n">
        <v>8031</v>
      </c>
      <c r="D488" t="n">
        <v>4322</v>
      </c>
      <c r="E488" t="n">
        <v>65</v>
      </c>
      <c r="F488" t="n">
        <v>1.2356</v>
      </c>
      <c r="G488" s="30" t="n">
        <v>0.000256</v>
      </c>
      <c r="H488" s="14" t="n">
        <v>0.9746</v>
      </c>
      <c r="I488" t="n">
        <v>0.538165</v>
      </c>
      <c r="J488" t="n">
        <v>0.015</v>
      </c>
      <c r="K488" t="n">
        <v>0.019009</v>
      </c>
      <c r="L488" t="n">
        <v>1.2152</v>
      </c>
      <c r="M488" t="n">
        <v>0.2492</v>
      </c>
      <c r="N488" t="n">
        <v>0.3028</v>
      </c>
      <c r="O488" t="inlineStr">
        <is>
          <t>WATCH</t>
        </is>
      </c>
    </row>
    <row r="489">
      <c r="A489" t="n">
        <v>16920602</v>
      </c>
      <c r="B489" t="n">
        <v>488</v>
      </c>
      <c r="C489" t="n">
        <v>2600</v>
      </c>
      <c r="D489" t="n">
        <v>730</v>
      </c>
      <c r="E489" t="n">
        <v>44</v>
      </c>
      <c r="F489" t="n">
        <v>1.2128</v>
      </c>
      <c r="G489" s="30" t="n">
        <v>0.000251</v>
      </c>
      <c r="H489" s="14" t="n">
        <v>0.9748</v>
      </c>
      <c r="I489" t="n">
        <v>0.280769</v>
      </c>
      <c r="J489" t="n">
        <v>0.0603</v>
      </c>
      <c r="K489" t="n">
        <v>0.027564</v>
      </c>
      <c r="L489" t="n">
        <v>1.1172</v>
      </c>
      <c r="M489" t="n">
        <v>0.2769</v>
      </c>
      <c r="N489" t="n">
        <v>0.3093</v>
      </c>
      <c r="O489" t="inlineStr">
        <is>
          <t>WATCH</t>
        </is>
      </c>
    </row>
    <row r="490">
      <c r="A490" t="n">
        <v>26998433</v>
      </c>
      <c r="B490" t="n">
        <v>489</v>
      </c>
      <c r="C490" t="n">
        <v>6334</v>
      </c>
      <c r="D490" t="n">
        <v>2462</v>
      </c>
      <c r="E490" t="n">
        <v>42</v>
      </c>
      <c r="F490" t="n">
        <v>1.211</v>
      </c>
      <c r="G490" s="30" t="n">
        <v>0.000251</v>
      </c>
      <c r="H490" s="14" t="n">
        <v>0.9751</v>
      </c>
      <c r="I490" t="n">
        <v>0.388696</v>
      </c>
      <c r="J490" t="n">
        <v>0.0171</v>
      </c>
      <c r="K490" t="n">
        <v>0.028834</v>
      </c>
      <c r="L490" t="n">
        <v>1.4021</v>
      </c>
      <c r="M490" t="n">
        <v>0.2098</v>
      </c>
      <c r="N490" t="n">
        <v>0.2942</v>
      </c>
      <c r="O490" t="inlineStr">
        <is>
          <t>WATCH</t>
        </is>
      </c>
    </row>
    <row r="491">
      <c r="A491" t="n">
        <v>24843272</v>
      </c>
      <c r="B491" t="n">
        <v>490</v>
      </c>
      <c r="C491" t="n">
        <v>14579</v>
      </c>
      <c r="D491" t="n">
        <v>3701</v>
      </c>
      <c r="E491" t="n">
        <v>1689</v>
      </c>
      <c r="F491" t="n">
        <v>1.2081</v>
      </c>
      <c r="G491" s="30" t="n">
        <v>0.00025</v>
      </c>
      <c r="H491" s="14" t="n">
        <v>0.9752999999999999</v>
      </c>
      <c r="I491" t="n">
        <v>0.253858</v>
      </c>
      <c r="J491" t="n">
        <v>0.4564</v>
      </c>
      <c r="K491" t="n">
        <v>0.000715</v>
      </c>
      <c r="L491" t="n">
        <v>0.9248</v>
      </c>
      <c r="M491" t="n">
        <v>0.2592</v>
      </c>
      <c r="N491" t="n">
        <v>0.2397</v>
      </c>
      <c r="O491" t="inlineStr">
        <is>
          <t>GROW</t>
        </is>
      </c>
    </row>
    <row r="492">
      <c r="A492" t="n">
        <v>20309767</v>
      </c>
      <c r="B492" t="n">
        <v>491</v>
      </c>
      <c r="C492" t="n">
        <v>6252</v>
      </c>
      <c r="D492" t="n">
        <v>2535</v>
      </c>
      <c r="E492" t="n">
        <v>159</v>
      </c>
      <c r="F492" t="n">
        <v>1.1779</v>
      </c>
      <c r="G492" s="30" t="n">
        <v>0.000244</v>
      </c>
      <c r="H492" s="14" t="n">
        <v>0.9756</v>
      </c>
      <c r="I492" t="n">
        <v>0.40547</v>
      </c>
      <c r="J492" t="n">
        <v>0.06270000000000001</v>
      </c>
      <c r="K492" t="n">
        <v>0.007408</v>
      </c>
      <c r="L492" t="n">
        <v>0.5745</v>
      </c>
      <c r="M492" t="n">
        <v>0.2729</v>
      </c>
      <c r="N492" t="n">
        <v>0.1568</v>
      </c>
      <c r="O492" t="inlineStr">
        <is>
          <t>GROW</t>
        </is>
      </c>
    </row>
    <row r="493">
      <c r="A493" t="n">
        <v>29140152</v>
      </c>
      <c r="B493" t="n">
        <v>492</v>
      </c>
      <c r="C493" t="n">
        <v>6322</v>
      </c>
      <c r="D493" t="n">
        <v>2763</v>
      </c>
      <c r="E493" t="n">
        <v>40</v>
      </c>
      <c r="F493" t="n">
        <v>1.1758</v>
      </c>
      <c r="G493" s="30" t="n">
        <v>0.000243</v>
      </c>
      <c r="H493" s="14" t="n">
        <v>0.9758</v>
      </c>
      <c r="I493" t="n">
        <v>0.437045</v>
      </c>
      <c r="J493" t="n">
        <v>0.0145</v>
      </c>
      <c r="K493" t="n">
        <v>0.029395</v>
      </c>
      <c r="L493" t="n">
        <v>0.206</v>
      </c>
      <c r="M493" t="n">
        <v>0.4724</v>
      </c>
      <c r="N493" t="n">
        <v>0.0973</v>
      </c>
      <c r="O493" t="inlineStr">
        <is>
          <t>WATCH</t>
        </is>
      </c>
    </row>
    <row r="494">
      <c r="A494" t="n">
        <v>4626334</v>
      </c>
      <c r="B494" t="n">
        <v>493</v>
      </c>
      <c r="C494" t="n">
        <v>5578</v>
      </c>
      <c r="D494" t="n">
        <v>1749</v>
      </c>
      <c r="E494" t="n">
        <v>14</v>
      </c>
      <c r="F494" t="n">
        <v>1.1619</v>
      </c>
      <c r="G494" s="30" t="n">
        <v>0.000241</v>
      </c>
      <c r="H494" s="14" t="n">
        <v>0.976</v>
      </c>
      <c r="I494" t="n">
        <v>0.313553</v>
      </c>
      <c r="J494" t="n">
        <v>0.008</v>
      </c>
      <c r="K494" t="n">
        <v>0.082991</v>
      </c>
      <c r="L494" t="n">
        <v>0.9814000000000001</v>
      </c>
      <c r="M494" t="n">
        <v>0.2755</v>
      </c>
      <c r="N494" t="n">
        <v>0.2704</v>
      </c>
      <c r="O494" t="inlineStr">
        <is>
          <t>WATCH</t>
        </is>
      </c>
    </row>
    <row r="495">
      <c r="A495" t="n">
        <v>16920597</v>
      </c>
      <c r="B495" t="n">
        <v>494</v>
      </c>
      <c r="C495" t="n">
        <v>3842</v>
      </c>
      <c r="D495" t="n">
        <v>1244</v>
      </c>
      <c r="E495" t="n">
        <v>66</v>
      </c>
      <c r="F495" t="n">
        <v>1.1525</v>
      </c>
      <c r="G495" s="30" t="n">
        <v>0.000239</v>
      </c>
      <c r="H495" s="14" t="n">
        <v>0.9762999999999999</v>
      </c>
      <c r="I495" t="n">
        <v>0.32379</v>
      </c>
      <c r="J495" t="n">
        <v>0.0531</v>
      </c>
      <c r="K495" t="n">
        <v>0.017462</v>
      </c>
      <c r="L495" t="n">
        <v>0.3153</v>
      </c>
      <c r="M495" t="n">
        <v>0.4366</v>
      </c>
      <c r="N495" t="n">
        <v>0.1377</v>
      </c>
      <c r="O495" t="inlineStr">
        <is>
          <t>GROW</t>
        </is>
      </c>
    </row>
    <row r="496">
      <c r="A496" t="n">
        <v>23330022</v>
      </c>
      <c r="B496" t="n">
        <v>495</v>
      </c>
      <c r="C496" t="n">
        <v>8116</v>
      </c>
      <c r="D496" t="n">
        <v>1242</v>
      </c>
      <c r="E496" t="n">
        <v>38</v>
      </c>
      <c r="F496" t="n">
        <v>1.1479</v>
      </c>
      <c r="G496" s="30" t="n">
        <v>0.000238</v>
      </c>
      <c r="H496" s="14" t="n">
        <v>0.9765</v>
      </c>
      <c r="I496" t="n">
        <v>0.153031</v>
      </c>
      <c r="J496" t="n">
        <v>0.0306</v>
      </c>
      <c r="K496" t="n">
        <v>0.030207</v>
      </c>
      <c r="L496" t="n">
        <v>1.0044</v>
      </c>
      <c r="M496" t="n">
        <v>0.2814</v>
      </c>
      <c r="N496" t="n">
        <v>0.2826</v>
      </c>
      <c r="O496" t="inlineStr">
        <is>
          <t>WATCH</t>
        </is>
      </c>
    </row>
    <row r="497">
      <c r="A497" t="n">
        <v>10055720</v>
      </c>
      <c r="B497" t="n">
        <v>496</v>
      </c>
      <c r="C497" t="n">
        <v>1895</v>
      </c>
      <c r="D497" t="n">
        <v>645</v>
      </c>
      <c r="E497" t="n">
        <v>39</v>
      </c>
      <c r="F497" t="n">
        <v>1.1424</v>
      </c>
      <c r="G497" s="30" t="n">
        <v>0.000237</v>
      </c>
      <c r="H497" s="14" t="n">
        <v>0.9768</v>
      </c>
      <c r="I497" t="n">
        <v>0.340369</v>
      </c>
      <c r="J497" t="n">
        <v>0.0605</v>
      </c>
      <c r="K497" t="n">
        <v>0.029292</v>
      </c>
      <c r="L497" t="n">
        <v>0.5938</v>
      </c>
      <c r="M497" t="n">
        <v>0.3056</v>
      </c>
      <c r="N497" t="n">
        <v>0.1815</v>
      </c>
      <c r="O497" t="inlineStr">
        <is>
          <t>WATCH</t>
        </is>
      </c>
    </row>
    <row r="498">
      <c r="A498" t="n">
        <v>5084322</v>
      </c>
      <c r="B498" t="n">
        <v>497</v>
      </c>
      <c r="C498" t="n">
        <v>8162</v>
      </c>
      <c r="D498" t="n">
        <v>3038</v>
      </c>
      <c r="E498" t="n">
        <v>80</v>
      </c>
      <c r="F498" t="n">
        <v>1.1356</v>
      </c>
      <c r="G498" s="30" t="n">
        <v>0.000235</v>
      </c>
      <c r="H498" s="14" t="n">
        <v>0.977</v>
      </c>
      <c r="I498" t="n">
        <v>0.372213</v>
      </c>
      <c r="J498" t="n">
        <v>0.0263</v>
      </c>
      <c r="K498" t="n">
        <v>0.014195</v>
      </c>
      <c r="L498" t="n">
        <v>2.1436</v>
      </c>
      <c r="M498" t="n">
        <v>0.1903</v>
      </c>
      <c r="N498" t="n">
        <v>0.4079</v>
      </c>
      <c r="O498" t="inlineStr">
        <is>
          <t>GROW</t>
        </is>
      </c>
    </row>
    <row r="499">
      <c r="A499" t="n">
        <v>32385772</v>
      </c>
      <c r="B499" t="n">
        <v>498</v>
      </c>
      <c r="C499" t="n">
        <v>6090</v>
      </c>
      <c r="D499" t="n">
        <v>1515</v>
      </c>
      <c r="E499" t="n">
        <v>29</v>
      </c>
      <c r="F499" t="n">
        <v>1.1328</v>
      </c>
      <c r="G499" s="30" t="n">
        <v>0.000235</v>
      </c>
      <c r="H499" s="14" t="n">
        <v>0.9772</v>
      </c>
      <c r="I499" t="n">
        <v>0.248768</v>
      </c>
      <c r="J499" t="n">
        <v>0.0191</v>
      </c>
      <c r="K499" t="n">
        <v>0.039063</v>
      </c>
      <c r="L499" t="n">
        <v>0.3941</v>
      </c>
      <c r="M499" t="n">
        <v>0.34</v>
      </c>
      <c r="N499" t="n">
        <v>0.134</v>
      </c>
      <c r="O499" t="inlineStr">
        <is>
          <t>WATCH</t>
        </is>
      </c>
    </row>
    <row r="500">
      <c r="A500" t="n">
        <v>25102583</v>
      </c>
      <c r="B500" t="n">
        <v>499</v>
      </c>
      <c r="C500" t="n">
        <v>13342</v>
      </c>
      <c r="D500" t="n">
        <v>5906</v>
      </c>
      <c r="E500" t="n">
        <v>66</v>
      </c>
      <c r="F500" t="n">
        <v>1.1269</v>
      </c>
      <c r="G500" s="30" t="n">
        <v>0.000233</v>
      </c>
      <c r="H500" s="14" t="n">
        <v>0.9775</v>
      </c>
      <c r="I500" t="n">
        <v>0.442662</v>
      </c>
      <c r="J500" t="n">
        <v>0.0112</v>
      </c>
      <c r="K500" t="n">
        <v>0.017075</v>
      </c>
      <c r="L500" t="n">
        <v>0.8032</v>
      </c>
      <c r="M500" t="n">
        <v>0.2798</v>
      </c>
      <c r="N500" t="n">
        <v>0.2247</v>
      </c>
      <c r="O500" t="inlineStr">
        <is>
          <t>GROW</t>
        </is>
      </c>
    </row>
    <row r="501">
      <c r="A501" t="n">
        <v>17051292</v>
      </c>
      <c r="B501" t="n">
        <v>500</v>
      </c>
      <c r="C501" t="n">
        <v>2654</v>
      </c>
      <c r="D501" t="n">
        <v>883</v>
      </c>
      <c r="E501" t="n">
        <v>129</v>
      </c>
      <c r="F501" t="n">
        <v>1.1254</v>
      </c>
      <c r="G501" s="30" t="n">
        <v>0.000233</v>
      </c>
      <c r="H501" s="14" t="n">
        <v>0.9777</v>
      </c>
      <c r="I501" t="n">
        <v>0.332705</v>
      </c>
      <c r="J501" t="n">
        <v>0.1461</v>
      </c>
      <c r="K501" t="n">
        <v>0.008724000000000001</v>
      </c>
      <c r="L501" t="n">
        <v>1.6729</v>
      </c>
      <c r="M501" t="n">
        <v>0.17</v>
      </c>
      <c r="N501" t="n">
        <v>0.2845</v>
      </c>
      <c r="O501" t="inlineStr">
        <is>
          <t>GROW</t>
        </is>
      </c>
    </row>
    <row r="502">
      <c r="A502" t="n">
        <v>8214946</v>
      </c>
      <c r="B502" t="n">
        <v>501</v>
      </c>
      <c r="C502" t="n">
        <v>7536</v>
      </c>
      <c r="D502" t="n">
        <v>2585</v>
      </c>
      <c r="E502" t="n">
        <v>100</v>
      </c>
      <c r="F502" t="n">
        <v>1.1161</v>
      </c>
      <c r="G502" s="30" t="n">
        <v>0.000231</v>
      </c>
      <c r="H502" s="14" t="n">
        <v>0.9779</v>
      </c>
      <c r="I502" t="n">
        <v>0.34302</v>
      </c>
      <c r="J502" t="n">
        <v>0.0387</v>
      </c>
      <c r="K502" t="n">
        <v>0.011161</v>
      </c>
      <c r="L502" t="n">
        <v>0.648</v>
      </c>
      <c r="M502" t="n">
        <v>0.2693</v>
      </c>
      <c r="N502" t="n">
        <v>0.1745</v>
      </c>
      <c r="O502" t="inlineStr">
        <is>
          <t>GROW</t>
        </is>
      </c>
    </row>
    <row r="503">
      <c r="A503" t="n">
        <v>13458070</v>
      </c>
      <c r="B503" t="n">
        <v>502</v>
      </c>
      <c r="C503" t="n">
        <v>2297</v>
      </c>
      <c r="D503" t="n">
        <v>930</v>
      </c>
      <c r="E503" t="n">
        <v>8</v>
      </c>
      <c r="F503" t="n">
        <v>1.1152</v>
      </c>
      <c r="G503" s="30" t="n">
        <v>0.000231</v>
      </c>
      <c r="H503" s="14" t="n">
        <v>0.9782</v>
      </c>
      <c r="I503" t="n">
        <v>0.404876</v>
      </c>
      <c r="J503" t="n">
        <v>0.0086</v>
      </c>
      <c r="K503" t="n">
        <v>0.139405</v>
      </c>
      <c r="L503" t="n">
        <v>0.9817</v>
      </c>
      <c r="M503" t="n">
        <v>0.269</v>
      </c>
      <c r="N503" t="n">
        <v>0.2641</v>
      </c>
      <c r="O503" t="inlineStr">
        <is>
          <t>WATCH</t>
        </is>
      </c>
    </row>
    <row r="504">
      <c r="A504" t="n">
        <v>7075386</v>
      </c>
      <c r="B504" t="n">
        <v>503</v>
      </c>
      <c r="C504" t="n">
        <v>8661</v>
      </c>
      <c r="D504" t="n">
        <v>4113</v>
      </c>
      <c r="E504" t="n">
        <v>157</v>
      </c>
      <c r="F504" t="n">
        <v>1.1078</v>
      </c>
      <c r="G504" s="30" t="n">
        <v>0.000229</v>
      </c>
      <c r="H504" s="14" t="n">
        <v>0.9784</v>
      </c>
      <c r="I504" t="n">
        <v>0.474887</v>
      </c>
      <c r="J504" t="n">
        <v>0.0382</v>
      </c>
      <c r="K504" t="n">
        <v>0.007056</v>
      </c>
      <c r="L504" t="n">
        <v>1.3127</v>
      </c>
      <c r="M504" t="n">
        <v>0.1962</v>
      </c>
      <c r="N504" t="n">
        <v>0.2576</v>
      </c>
      <c r="O504" t="inlineStr">
        <is>
          <t>GROW</t>
        </is>
      </c>
    </row>
    <row r="505">
      <c r="A505" t="n">
        <v>6015885</v>
      </c>
      <c r="B505" t="n">
        <v>504</v>
      </c>
      <c r="C505" t="n">
        <v>2700</v>
      </c>
      <c r="D505" t="n">
        <v>1048</v>
      </c>
      <c r="E505" t="n">
        <v>75</v>
      </c>
      <c r="F505" t="n">
        <v>1.1014</v>
      </c>
      <c r="G505" s="30" t="n">
        <v>0.000228</v>
      </c>
      <c r="H505" s="14" t="n">
        <v>0.9786</v>
      </c>
      <c r="I505" t="n">
        <v>0.388148</v>
      </c>
      <c r="J505" t="n">
        <v>0.0716</v>
      </c>
      <c r="K505" t="n">
        <v>0.014685</v>
      </c>
      <c r="L505" t="n">
        <v>0.6401</v>
      </c>
      <c r="M505" t="n">
        <v>0.3174</v>
      </c>
      <c r="N505" t="n">
        <v>0.2032</v>
      </c>
      <c r="O505" t="inlineStr">
        <is>
          <t>GROW</t>
        </is>
      </c>
    </row>
    <row r="506">
      <c r="A506" t="n">
        <v>10123946</v>
      </c>
      <c r="B506" t="n">
        <v>505</v>
      </c>
      <c r="C506" t="n">
        <v>5534</v>
      </c>
      <c r="D506" t="n">
        <v>2365</v>
      </c>
      <c r="E506" t="n">
        <v>143</v>
      </c>
      <c r="F506" t="n">
        <v>1.1008</v>
      </c>
      <c r="G506" s="30" t="n">
        <v>0.000228</v>
      </c>
      <c r="H506" s="14" t="n">
        <v>0.9788</v>
      </c>
      <c r="I506" t="n">
        <v>0.427358</v>
      </c>
      <c r="J506" t="n">
        <v>0.0605</v>
      </c>
      <c r="K506" t="n">
        <v>0.007698</v>
      </c>
      <c r="L506" t="n">
        <v>1.0504</v>
      </c>
      <c r="M506" t="n">
        <v>0.2933</v>
      </c>
      <c r="N506" t="n">
        <v>0.3081</v>
      </c>
      <c r="O506" t="inlineStr">
        <is>
          <t>GROW</t>
        </is>
      </c>
    </row>
    <row r="507">
      <c r="A507" t="n">
        <v>26949221</v>
      </c>
      <c r="B507" t="n">
        <v>506</v>
      </c>
      <c r="C507" t="n">
        <v>6443</v>
      </c>
      <c r="D507" t="n">
        <v>1919</v>
      </c>
      <c r="E507" t="n">
        <v>185</v>
      </c>
      <c r="F507" t="n">
        <v>1.0907</v>
      </c>
      <c r="G507" s="30" t="n">
        <v>0.000226</v>
      </c>
      <c r="H507" s="14" t="n">
        <v>0.9791</v>
      </c>
      <c r="I507" t="n">
        <v>0.297843</v>
      </c>
      <c r="J507" t="n">
        <v>0.0964</v>
      </c>
      <c r="K507" t="n">
        <v>0.005896</v>
      </c>
      <c r="L507" t="n">
        <v>1.3458</v>
      </c>
      <c r="M507" t="n">
        <v>0.2256</v>
      </c>
      <c r="N507" t="n">
        <v>0.3036</v>
      </c>
      <c r="O507" t="inlineStr">
        <is>
          <t>GROW</t>
        </is>
      </c>
    </row>
    <row r="508">
      <c r="A508" t="n">
        <v>4804073</v>
      </c>
      <c r="B508" t="n">
        <v>507</v>
      </c>
      <c r="C508" t="n">
        <v>3974</v>
      </c>
      <c r="D508" t="n">
        <v>1470</v>
      </c>
      <c r="E508" t="n">
        <v>133</v>
      </c>
      <c r="F508" t="n">
        <v>1.0906</v>
      </c>
      <c r="G508" s="30" t="n">
        <v>0.000226</v>
      </c>
      <c r="H508" s="14" t="n">
        <v>0.9792999999999999</v>
      </c>
      <c r="I508" t="n">
        <v>0.369904</v>
      </c>
      <c r="J508" t="n">
        <v>0.0905</v>
      </c>
      <c r="K508" t="n">
        <v>0.008200000000000001</v>
      </c>
      <c r="L508" t="n">
        <v>3.42</v>
      </c>
      <c r="M508" t="n">
        <v>0.1473</v>
      </c>
      <c r="N508" t="n">
        <v>0.5037</v>
      </c>
      <c r="O508" t="inlineStr">
        <is>
          <t>GROW</t>
        </is>
      </c>
    </row>
    <row r="509">
      <c r="A509" t="n">
        <v>3139444</v>
      </c>
      <c r="B509" t="n">
        <v>508</v>
      </c>
      <c r="C509" t="n">
        <v>4470</v>
      </c>
      <c r="D509" t="n">
        <v>1303</v>
      </c>
      <c r="E509" t="n">
        <v>12</v>
      </c>
      <c r="F509" t="n">
        <v>1.0862</v>
      </c>
      <c r="G509" s="30" t="n">
        <v>0.000225</v>
      </c>
      <c r="H509" s="14" t="n">
        <v>0.9795</v>
      </c>
      <c r="I509" t="n">
        <v>0.291499</v>
      </c>
      <c r="J509" t="n">
        <v>0.0092</v>
      </c>
      <c r="K509" t="n">
        <v>0.090519</v>
      </c>
      <c r="L509" t="n">
        <v>1.0967</v>
      </c>
      <c r="M509" t="n">
        <v>0.2481</v>
      </c>
      <c r="N509" t="n">
        <v>0.2721</v>
      </c>
      <c r="O509" t="inlineStr">
        <is>
          <t>WATCH</t>
        </is>
      </c>
    </row>
    <row r="510">
      <c r="A510" t="n">
        <v>29513914</v>
      </c>
      <c r="B510" t="n">
        <v>509</v>
      </c>
      <c r="C510" t="n">
        <v>4343</v>
      </c>
      <c r="D510" t="n">
        <v>1568</v>
      </c>
      <c r="E510" t="n">
        <v>57</v>
      </c>
      <c r="F510" t="n">
        <v>1.0831</v>
      </c>
      <c r="G510" s="30" t="n">
        <v>0.000224</v>
      </c>
      <c r="H510" s="14" t="n">
        <v>0.9797</v>
      </c>
      <c r="I510" t="n">
        <v>0.361041</v>
      </c>
      <c r="J510" t="n">
        <v>0.0364</v>
      </c>
      <c r="K510" t="n">
        <v>0.019002</v>
      </c>
      <c r="L510" t="n">
        <v>0.6229</v>
      </c>
      <c r="M510" t="n">
        <v>0.2668</v>
      </c>
      <c r="N510" t="n">
        <v>0.1662</v>
      </c>
      <c r="O510" t="inlineStr">
        <is>
          <t>WATCH</t>
        </is>
      </c>
    </row>
    <row r="511">
      <c r="A511" t="n">
        <v>20695010</v>
      </c>
      <c r="B511" t="n">
        <v>510</v>
      </c>
      <c r="C511" t="n">
        <v>19406</v>
      </c>
      <c r="D511" t="n">
        <v>3518</v>
      </c>
      <c r="E511" t="n">
        <v>100</v>
      </c>
      <c r="F511" t="n">
        <v>1.0744</v>
      </c>
      <c r="G511" s="30" t="n">
        <v>0.000222</v>
      </c>
      <c r="H511" s="14" t="n">
        <v>0.98</v>
      </c>
      <c r="I511" t="n">
        <v>0.181284</v>
      </c>
      <c r="J511" t="n">
        <v>0.0284</v>
      </c>
      <c r="K511" t="n">
        <v>0.010744</v>
      </c>
      <c r="L511" t="n">
        <v>0.8846000000000001</v>
      </c>
      <c r="M511" t="n">
        <v>0.2593</v>
      </c>
      <c r="N511" t="n">
        <v>0.2294</v>
      </c>
      <c r="O511" t="inlineStr">
        <is>
          <t>GROW</t>
        </is>
      </c>
    </row>
    <row r="512">
      <c r="A512" t="n">
        <v>18899195</v>
      </c>
      <c r="B512" t="n">
        <v>511</v>
      </c>
      <c r="C512" t="n">
        <v>3714</v>
      </c>
      <c r="D512" t="n">
        <v>2228</v>
      </c>
      <c r="E512" t="n">
        <v>107</v>
      </c>
      <c r="F512" t="n">
        <v>1.0572</v>
      </c>
      <c r="G512" s="30" t="n">
        <v>0.000219</v>
      </c>
      <c r="H512" s="14" t="n">
        <v>0.9802</v>
      </c>
      <c r="I512" t="n">
        <v>0.599892</v>
      </c>
      <c r="J512" t="n">
        <v>0.048</v>
      </c>
      <c r="K512" t="n">
        <v>0.00988</v>
      </c>
      <c r="L512" t="n">
        <v>0.7159</v>
      </c>
      <c r="M512" t="n">
        <v>0.3216</v>
      </c>
      <c r="N512" t="n">
        <v>0.2302</v>
      </c>
      <c r="O512" t="inlineStr">
        <is>
          <t>GROW</t>
        </is>
      </c>
    </row>
    <row r="513">
      <c r="A513" t="n">
        <v>1341195</v>
      </c>
      <c r="B513" t="n">
        <v>512</v>
      </c>
      <c r="C513" t="n">
        <v>13543</v>
      </c>
      <c r="D513" t="n">
        <v>4429</v>
      </c>
      <c r="E513" t="n">
        <v>89</v>
      </c>
      <c r="F513" t="n">
        <v>1.0556</v>
      </c>
      <c r="G513" s="30" t="n">
        <v>0.000219</v>
      </c>
      <c r="H513" s="14" t="n">
        <v>0.9804</v>
      </c>
      <c r="I513" t="n">
        <v>0.327032</v>
      </c>
      <c r="J513" t="n">
        <v>0.0201</v>
      </c>
      <c r="K513" t="n">
        <v>0.011861</v>
      </c>
      <c r="L513" t="n">
        <v>0.9384</v>
      </c>
      <c r="M513" t="n">
        <v>0.2483</v>
      </c>
      <c r="N513" t="n">
        <v>0.233</v>
      </c>
      <c r="O513" t="inlineStr">
        <is>
          <t>GROW</t>
        </is>
      </c>
    </row>
    <row r="514">
      <c r="A514" t="n">
        <v>22296560</v>
      </c>
      <c r="B514" t="n">
        <v>513</v>
      </c>
      <c r="C514" t="n">
        <v>2139</v>
      </c>
      <c r="D514" t="n">
        <v>730</v>
      </c>
      <c r="E514" t="n">
        <v>15</v>
      </c>
      <c r="F514" t="n">
        <v>1.0542</v>
      </c>
      <c r="G514" s="30" t="n">
        <v>0.000218</v>
      </c>
      <c r="H514" s="14" t="n">
        <v>0.9806</v>
      </c>
      <c r="I514" t="n">
        <v>0.341281</v>
      </c>
      <c r="J514" t="n">
        <v>0.0205</v>
      </c>
      <c r="K514" t="n">
        <v>0.07028</v>
      </c>
      <c r="L514" t="n">
        <v>0.722</v>
      </c>
      <c r="M514" t="n">
        <v>0.3563</v>
      </c>
      <c r="N514" t="n">
        <v>0.2573</v>
      </c>
      <c r="O514" t="inlineStr">
        <is>
          <t>WATCH</t>
        </is>
      </c>
    </row>
    <row r="515">
      <c r="A515" t="n">
        <v>11028540</v>
      </c>
      <c r="B515" t="n">
        <v>514</v>
      </c>
      <c r="C515" t="n">
        <v>14355</v>
      </c>
      <c r="D515" t="n">
        <v>4164</v>
      </c>
      <c r="E515" t="n">
        <v>133</v>
      </c>
      <c r="F515" t="n">
        <v>1.052</v>
      </c>
      <c r="G515" s="30" t="n">
        <v>0.000218</v>
      </c>
      <c r="H515" s="14" t="n">
        <v>0.9808</v>
      </c>
      <c r="I515" t="n">
        <v>0.290073</v>
      </c>
      <c r="J515" t="n">
        <v>0.0319</v>
      </c>
      <c r="K515" t="n">
        <v>0.00791</v>
      </c>
      <c r="L515" t="n">
        <v>0.6213</v>
      </c>
      <c r="M515" t="n">
        <v>0.2853</v>
      </c>
      <c r="N515" t="n">
        <v>0.1773</v>
      </c>
      <c r="O515" t="inlineStr">
        <is>
          <t>GROW</t>
        </is>
      </c>
    </row>
    <row r="516">
      <c r="A516" t="n">
        <v>10746437</v>
      </c>
      <c r="B516" t="n">
        <v>515</v>
      </c>
      <c r="C516" t="n">
        <v>1299</v>
      </c>
      <c r="D516" t="n">
        <v>430</v>
      </c>
      <c r="E516" t="n">
        <v>22</v>
      </c>
      <c r="F516" t="n">
        <v>1.0518</v>
      </c>
      <c r="G516" s="30" t="n">
        <v>0.000218</v>
      </c>
      <c r="H516" s="14" t="n">
        <v>0.9811</v>
      </c>
      <c r="I516" t="n">
        <v>0.331024</v>
      </c>
      <c r="J516" t="n">
        <v>0.0512</v>
      </c>
      <c r="K516" t="n">
        <v>0.047807</v>
      </c>
      <c r="L516" t="n">
        <v>1.0915</v>
      </c>
      <c r="M516" t="n">
        <v>0.2137</v>
      </c>
      <c r="N516" t="n">
        <v>0.2333</v>
      </c>
      <c r="O516" t="inlineStr">
        <is>
          <t>WATCH</t>
        </is>
      </c>
    </row>
    <row r="517">
      <c r="A517" t="n">
        <v>19860994</v>
      </c>
      <c r="B517" t="n">
        <v>516</v>
      </c>
      <c r="C517" t="n">
        <v>3578</v>
      </c>
      <c r="D517" t="n">
        <v>836</v>
      </c>
      <c r="E517" t="n">
        <v>34</v>
      </c>
      <c r="F517" t="n">
        <v>1.0448</v>
      </c>
      <c r="G517" s="30" t="n">
        <v>0.000216</v>
      </c>
      <c r="H517" s="14" t="n">
        <v>0.9813</v>
      </c>
      <c r="I517" t="n">
        <v>0.23365</v>
      </c>
      <c r="J517" t="n">
        <v>0.0407</v>
      </c>
      <c r="K517" t="n">
        <v>0.030728</v>
      </c>
      <c r="L517" t="n">
        <v>0.6596</v>
      </c>
      <c r="M517" t="n">
        <v>0.3185</v>
      </c>
      <c r="N517" t="n">
        <v>0.2101</v>
      </c>
      <c r="O517" t="inlineStr">
        <is>
          <t>WATCH</t>
        </is>
      </c>
    </row>
    <row r="518">
      <c r="A518" t="n">
        <v>24526835</v>
      </c>
      <c r="B518" t="n">
        <v>517</v>
      </c>
      <c r="C518" t="n">
        <v>5747</v>
      </c>
      <c r="D518" t="n">
        <v>1376</v>
      </c>
      <c r="E518" t="n">
        <v>70</v>
      </c>
      <c r="F518" t="n">
        <v>1.0425</v>
      </c>
      <c r="G518" s="30" t="n">
        <v>0.000216</v>
      </c>
      <c r="H518" s="14" t="n">
        <v>0.9815</v>
      </c>
      <c r="I518" t="n">
        <v>0.239429</v>
      </c>
      <c r="J518" t="n">
        <v>0.0509</v>
      </c>
      <c r="K518" t="n">
        <v>0.014893</v>
      </c>
      <c r="L518" t="n">
        <v>1.4078</v>
      </c>
      <c r="M518" t="n">
        <v>0.1986</v>
      </c>
      <c r="N518" t="n">
        <v>0.2796</v>
      </c>
      <c r="O518" t="inlineStr">
        <is>
          <t>GROW</t>
        </is>
      </c>
    </row>
    <row r="519">
      <c r="A519" t="n">
        <v>29513908</v>
      </c>
      <c r="B519" t="n">
        <v>518</v>
      </c>
      <c r="C519" t="n">
        <v>4219</v>
      </c>
      <c r="D519" t="n">
        <v>1705</v>
      </c>
      <c r="E519" t="n">
        <v>70</v>
      </c>
      <c r="F519" t="n">
        <v>1.0416</v>
      </c>
      <c r="G519" s="30" t="n">
        <v>0.000216</v>
      </c>
      <c r="H519" s="14" t="n">
        <v>0.9817</v>
      </c>
      <c r="I519" t="n">
        <v>0.404124</v>
      </c>
      <c r="J519" t="n">
        <v>0.0411</v>
      </c>
      <c r="K519" t="n">
        <v>0.014881</v>
      </c>
      <c r="L519" t="n">
        <v>0.4388</v>
      </c>
      <c r="M519" t="n">
        <v>0.3328</v>
      </c>
      <c r="N519" t="n">
        <v>0.146</v>
      </c>
      <c r="O519" t="inlineStr">
        <is>
          <t>GROW</t>
        </is>
      </c>
    </row>
    <row r="520">
      <c r="A520" t="n">
        <v>18104558</v>
      </c>
      <c r="B520" t="n">
        <v>519</v>
      </c>
      <c r="C520" t="n">
        <v>2591</v>
      </c>
      <c r="D520" t="n">
        <v>1064</v>
      </c>
      <c r="E520" t="n">
        <v>20</v>
      </c>
      <c r="F520" t="n">
        <v>1.0358</v>
      </c>
      <c r="G520" s="30" t="n">
        <v>0.000214</v>
      </c>
      <c r="H520" s="14" t="n">
        <v>0.9819</v>
      </c>
      <c r="I520" t="n">
        <v>0.410652</v>
      </c>
      <c r="J520" t="n">
        <v>0.0188</v>
      </c>
      <c r="K520" t="n">
        <v>0.051788</v>
      </c>
      <c r="L520" t="n">
        <v>1.2764</v>
      </c>
      <c r="M520" t="n">
        <v>0.1886</v>
      </c>
      <c r="N520" t="n">
        <v>0.2407</v>
      </c>
      <c r="O520" t="inlineStr">
        <is>
          <t>WATCH</t>
        </is>
      </c>
    </row>
    <row r="521">
      <c r="A521" t="n">
        <v>14300126</v>
      </c>
      <c r="B521" t="n">
        <v>520</v>
      </c>
      <c r="C521" t="n">
        <v>4284</v>
      </c>
      <c r="D521" t="n">
        <v>1461</v>
      </c>
      <c r="E521" t="n">
        <v>36</v>
      </c>
      <c r="F521" t="n">
        <v>1.0349</v>
      </c>
      <c r="G521" s="30" t="n">
        <v>0.000214</v>
      </c>
      <c r="H521" s="14" t="n">
        <v>0.9821</v>
      </c>
      <c r="I521" t="n">
        <v>0.341036</v>
      </c>
      <c r="J521" t="n">
        <v>0.0246</v>
      </c>
      <c r="K521" t="n">
        <v>0.028747</v>
      </c>
      <c r="L521" t="n">
        <v>0.2958</v>
      </c>
      <c r="M521" t="n">
        <v>0.6107</v>
      </c>
      <c r="N521" t="n">
        <v>0.1807</v>
      </c>
      <c r="O521" t="inlineStr">
        <is>
          <t>WATCH</t>
        </is>
      </c>
    </row>
    <row r="522">
      <c r="A522" t="n">
        <v>25259856</v>
      </c>
      <c r="B522" t="n">
        <v>521</v>
      </c>
      <c r="C522" t="n">
        <v>7541</v>
      </c>
      <c r="D522" t="n">
        <v>1809</v>
      </c>
      <c r="E522" t="n">
        <v>32</v>
      </c>
      <c r="F522" t="n">
        <v>1.004</v>
      </c>
      <c r="G522" s="30" t="n">
        <v>0.000208</v>
      </c>
      <c r="H522" s="14" t="n">
        <v>0.9823</v>
      </c>
      <c r="I522" t="n">
        <v>0.239889</v>
      </c>
      <c r="J522" t="n">
        <v>0.0177</v>
      </c>
      <c r="K522" t="n">
        <v>0.031374</v>
      </c>
      <c r="L522" t="n">
        <v>0.55</v>
      </c>
      <c r="M522" t="n">
        <v>0.3607</v>
      </c>
      <c r="N522" t="n">
        <v>0.1984</v>
      </c>
      <c r="O522" t="inlineStr">
        <is>
          <t>WATCH</t>
        </is>
      </c>
    </row>
    <row r="523">
      <c r="A523" t="n">
        <v>73328</v>
      </c>
      <c r="B523" t="n">
        <v>522</v>
      </c>
      <c r="C523" t="n">
        <v>12950</v>
      </c>
      <c r="D523" t="n">
        <v>4218</v>
      </c>
      <c r="E523" t="n">
        <v>849</v>
      </c>
      <c r="F523" t="n">
        <v>1.0011</v>
      </c>
      <c r="G523" s="30" t="n">
        <v>0.000207</v>
      </c>
      <c r="H523" s="14" t="n">
        <v>0.9825</v>
      </c>
      <c r="I523" t="n">
        <v>0.325714</v>
      </c>
      <c r="J523" t="n">
        <v>0.2013</v>
      </c>
      <c r="K523" t="n">
        <v>0.001179</v>
      </c>
      <c r="L523" t="n">
        <v>0.5708</v>
      </c>
      <c r="M523" t="n">
        <v>0.2973</v>
      </c>
      <c r="N523" t="n">
        <v>0.1697</v>
      </c>
      <c r="O523" t="inlineStr">
        <is>
          <t>GROW</t>
        </is>
      </c>
    </row>
    <row r="524">
      <c r="A524" t="n">
        <v>13710655</v>
      </c>
      <c r="B524" t="n">
        <v>523</v>
      </c>
      <c r="C524" t="n">
        <v>3599</v>
      </c>
      <c r="D524" t="n">
        <v>1048</v>
      </c>
      <c r="E524" t="n">
        <v>275</v>
      </c>
      <c r="F524" t="n">
        <v>1</v>
      </c>
      <c r="G524" s="30" t="n">
        <v>0.000207</v>
      </c>
      <c r="H524" s="14" t="n">
        <v>0.9828</v>
      </c>
      <c r="I524" t="n">
        <v>0.291192</v>
      </c>
      <c r="J524" t="n">
        <v>0.2624</v>
      </c>
      <c r="K524" t="n">
        <v>0.003636</v>
      </c>
      <c r="L524" t="n">
        <v>0.9497</v>
      </c>
      <c r="M524" t="n">
        <v>0.2001</v>
      </c>
      <c r="N524" t="n">
        <v>0.1901</v>
      </c>
      <c r="O524" t="inlineStr">
        <is>
          <t>GROW</t>
        </is>
      </c>
    </row>
    <row r="525">
      <c r="A525" t="n">
        <v>29687343</v>
      </c>
      <c r="B525" t="n">
        <v>524</v>
      </c>
      <c r="C525" t="n">
        <v>5880</v>
      </c>
      <c r="D525" t="n">
        <v>2886</v>
      </c>
      <c r="E525" t="n">
        <v>234</v>
      </c>
      <c r="F525" t="n">
        <v>0.9892</v>
      </c>
      <c r="G525" s="30" t="n">
        <v>0.000205</v>
      </c>
      <c r="H525" s="14" t="n">
        <v>0.983</v>
      </c>
      <c r="I525" t="n">
        <v>0.490816</v>
      </c>
      <c r="J525" t="n">
        <v>0.08110000000000001</v>
      </c>
      <c r="K525" t="n">
        <v>0.004227</v>
      </c>
      <c r="L525" t="n">
        <v>0.7708</v>
      </c>
      <c r="M525" t="n">
        <v>0.2461</v>
      </c>
      <c r="N525" t="n">
        <v>0.1897</v>
      </c>
      <c r="O525" t="inlineStr">
        <is>
          <t>GROW</t>
        </is>
      </c>
    </row>
    <row r="526">
      <c r="A526" t="n">
        <v>26949223</v>
      </c>
      <c r="B526" t="n">
        <v>525</v>
      </c>
      <c r="C526" t="n">
        <v>2847</v>
      </c>
      <c r="D526" t="n">
        <v>982</v>
      </c>
      <c r="E526" t="n">
        <v>61</v>
      </c>
      <c r="F526" t="n">
        <v>0.9848</v>
      </c>
      <c r="G526" s="30" t="n">
        <v>0.000204</v>
      </c>
      <c r="H526" s="14" t="n">
        <v>0.9832</v>
      </c>
      <c r="I526" t="n">
        <v>0.344924</v>
      </c>
      <c r="J526" t="n">
        <v>0.0621</v>
      </c>
      <c r="K526" t="n">
        <v>0.016145</v>
      </c>
      <c r="L526" t="n">
        <v>2.5103</v>
      </c>
      <c r="M526" t="n">
        <v>0.1161</v>
      </c>
      <c r="N526" t="n">
        <v>0.2915</v>
      </c>
      <c r="O526" t="inlineStr">
        <is>
          <t>GROW</t>
        </is>
      </c>
    </row>
    <row r="527">
      <c r="A527" t="n">
        <v>3884873</v>
      </c>
      <c r="B527" t="n">
        <v>526</v>
      </c>
      <c r="C527" t="n">
        <v>14775</v>
      </c>
      <c r="D527" t="n">
        <v>6252</v>
      </c>
      <c r="E527" t="n">
        <v>225</v>
      </c>
      <c r="F527" t="n">
        <v>0.9696</v>
      </c>
      <c r="G527" s="30" t="n">
        <v>0.000201</v>
      </c>
      <c r="H527" s="14" t="n">
        <v>0.9834000000000001</v>
      </c>
      <c r="I527" t="n">
        <v>0.423147</v>
      </c>
      <c r="J527" t="n">
        <v>0.036</v>
      </c>
      <c r="K527" t="n">
        <v>0.004309</v>
      </c>
      <c r="L527" t="n">
        <v>1.1783</v>
      </c>
      <c r="M527" t="n">
        <v>0.2998</v>
      </c>
      <c r="N527" t="n">
        <v>0.3532</v>
      </c>
      <c r="O527" t="inlineStr">
        <is>
          <t>GROW</t>
        </is>
      </c>
    </row>
    <row r="528">
      <c r="A528" t="n">
        <v>7336381</v>
      </c>
      <c r="B528" t="n">
        <v>527</v>
      </c>
      <c r="C528" t="n">
        <v>5296</v>
      </c>
      <c r="D528" t="n">
        <v>1696</v>
      </c>
      <c r="E528" t="n">
        <v>110</v>
      </c>
      <c r="F528" t="n">
        <v>0.9646</v>
      </c>
      <c r="G528" s="30" t="n">
        <v>0.0002</v>
      </c>
      <c r="H528" s="14" t="n">
        <v>0.9836</v>
      </c>
      <c r="I528" t="n">
        <v>0.320242</v>
      </c>
      <c r="J528" t="n">
        <v>0.0649</v>
      </c>
      <c r="K528" t="n">
        <v>0.008769000000000001</v>
      </c>
      <c r="L528" t="n">
        <v>0.7292999999999999</v>
      </c>
      <c r="M528" t="n">
        <v>0.2502</v>
      </c>
      <c r="N528" t="n">
        <v>0.1825</v>
      </c>
      <c r="O528" t="inlineStr">
        <is>
          <t>GROW</t>
        </is>
      </c>
    </row>
    <row r="529">
      <c r="A529" t="n">
        <v>7877971</v>
      </c>
      <c r="B529" t="n">
        <v>528</v>
      </c>
      <c r="C529" t="n">
        <v>9049</v>
      </c>
      <c r="D529" t="n">
        <v>3957</v>
      </c>
      <c r="E529" t="n">
        <v>153</v>
      </c>
      <c r="F529" t="n">
        <v>0.9582000000000001</v>
      </c>
      <c r="G529" s="30" t="n">
        <v>0.000198</v>
      </c>
      <c r="H529" s="14" t="n">
        <v>0.9838</v>
      </c>
      <c r="I529" t="n">
        <v>0.437286</v>
      </c>
      <c r="J529" t="n">
        <v>0.0387</v>
      </c>
      <c r="K529" t="n">
        <v>0.006263</v>
      </c>
      <c r="L529" t="n">
        <v>1.5661</v>
      </c>
      <c r="M529" t="n">
        <v>0.1671</v>
      </c>
      <c r="N529" t="n">
        <v>0.2617</v>
      </c>
      <c r="O529" t="inlineStr">
        <is>
          <t>GROW</t>
        </is>
      </c>
    </row>
    <row r="530">
      <c r="A530" t="n">
        <v>11772330</v>
      </c>
      <c r="B530" t="n">
        <v>529</v>
      </c>
      <c r="C530" t="n">
        <v>11433</v>
      </c>
      <c r="D530" t="n">
        <v>3303</v>
      </c>
      <c r="E530" t="n">
        <v>75</v>
      </c>
      <c r="F530" t="n">
        <v>0.9545</v>
      </c>
      <c r="G530" s="30" t="n">
        <v>0.000198</v>
      </c>
      <c r="H530" s="14" t="n">
        <v>0.984</v>
      </c>
      <c r="I530" t="n">
        <v>0.288901</v>
      </c>
      <c r="J530" t="n">
        <v>0.0227</v>
      </c>
      <c r="K530" t="n">
        <v>0.012727</v>
      </c>
      <c r="L530" t="n">
        <v>0.5335</v>
      </c>
      <c r="M530" t="n">
        <v>0.2909</v>
      </c>
      <c r="N530" t="n">
        <v>0.1552</v>
      </c>
      <c r="O530" t="inlineStr">
        <is>
          <t>GROW</t>
        </is>
      </c>
    </row>
    <row r="531">
      <c r="A531" t="n">
        <v>20496139</v>
      </c>
      <c r="B531" t="n">
        <v>530</v>
      </c>
      <c r="C531" t="n">
        <v>6412</v>
      </c>
      <c r="D531" t="n">
        <v>1001</v>
      </c>
      <c r="E531" t="n">
        <v>32</v>
      </c>
      <c r="F531" t="n">
        <v>0.9353</v>
      </c>
      <c r="G531" s="30" t="n">
        <v>0.000194</v>
      </c>
      <c r="H531" s="14" t="n">
        <v>0.9842</v>
      </c>
      <c r="I531" t="n">
        <v>0.156114</v>
      </c>
      <c r="J531" t="n">
        <v>0.032</v>
      </c>
      <c r="K531" t="n">
        <v>0.029228</v>
      </c>
      <c r="L531" t="n">
        <v>1.9462</v>
      </c>
      <c r="M531" t="n">
        <v>0.1387</v>
      </c>
      <c r="N531" t="n">
        <v>0.2699</v>
      </c>
      <c r="O531" t="inlineStr">
        <is>
          <t>WATCH</t>
        </is>
      </c>
    </row>
    <row r="532">
      <c r="A532" t="n">
        <v>24982961</v>
      </c>
      <c r="B532" t="n">
        <v>531</v>
      </c>
      <c r="C532" t="n">
        <v>4332</v>
      </c>
      <c r="D532" t="n">
        <v>2489</v>
      </c>
      <c r="E532" t="n">
        <v>189</v>
      </c>
      <c r="F532" t="n">
        <v>0.93</v>
      </c>
      <c r="G532" s="30" t="n">
        <v>0.000193</v>
      </c>
      <c r="H532" s="14" t="n">
        <v>0.9843</v>
      </c>
      <c r="I532" t="n">
        <v>0.574561</v>
      </c>
      <c r="J532" t="n">
        <v>0.0759</v>
      </c>
      <c r="K532" t="n">
        <v>0.00492</v>
      </c>
      <c r="L532" t="n">
        <v>0.6549</v>
      </c>
      <c r="M532" t="n">
        <v>0.3315</v>
      </c>
      <c r="N532" t="n">
        <v>0.2171</v>
      </c>
      <c r="O532" t="inlineStr">
        <is>
          <t>GROW</t>
        </is>
      </c>
    </row>
    <row r="533">
      <c r="A533" t="n">
        <v>1428788</v>
      </c>
      <c r="B533" t="n">
        <v>532</v>
      </c>
      <c r="C533" t="n">
        <v>7613</v>
      </c>
      <c r="D533" t="n">
        <v>3763</v>
      </c>
      <c r="E533" t="n">
        <v>142</v>
      </c>
      <c r="F533" t="n">
        <v>0.9292</v>
      </c>
      <c r="G533" s="30" t="n">
        <v>0.000192</v>
      </c>
      <c r="H533" s="14" t="n">
        <v>0.9845</v>
      </c>
      <c r="I533" t="n">
        <v>0.494286</v>
      </c>
      <c r="J533" t="n">
        <v>0.0377</v>
      </c>
      <c r="K533" t="n">
        <v>0.006543</v>
      </c>
      <c r="L533" t="n">
        <v>1.281</v>
      </c>
      <c r="M533" t="n">
        <v>0.1865</v>
      </c>
      <c r="N533" t="n">
        <v>0.2389</v>
      </c>
      <c r="O533" t="inlineStr">
        <is>
          <t>GROW</t>
        </is>
      </c>
    </row>
    <row r="534">
      <c r="A534" t="n">
        <v>27872610</v>
      </c>
      <c r="B534" t="n">
        <v>533</v>
      </c>
      <c r="C534" t="n">
        <v>3139</v>
      </c>
      <c r="D534" t="n">
        <v>1162</v>
      </c>
      <c r="E534" t="n">
        <v>26</v>
      </c>
      <c r="F534" t="n">
        <v>0.9249000000000001</v>
      </c>
      <c r="G534" s="30" t="n">
        <v>0.000192</v>
      </c>
      <c r="H534" s="14" t="n">
        <v>0.9847</v>
      </c>
      <c r="I534" t="n">
        <v>0.370182</v>
      </c>
      <c r="J534" t="n">
        <v>0.0224</v>
      </c>
      <c r="K534" t="n">
        <v>0.035571</v>
      </c>
      <c r="L534" t="n">
        <v>1.1215</v>
      </c>
      <c r="M534" t="n">
        <v>0.1935</v>
      </c>
      <c r="N534" t="n">
        <v>0.217</v>
      </c>
      <c r="O534" t="inlineStr">
        <is>
          <t>WATCH</t>
        </is>
      </c>
    </row>
    <row r="535">
      <c r="A535" t="n">
        <v>25045155</v>
      </c>
      <c r="B535" t="n">
        <v>534</v>
      </c>
      <c r="C535" t="n">
        <v>1264</v>
      </c>
      <c r="D535" t="n">
        <v>529</v>
      </c>
      <c r="E535" t="n">
        <v>50</v>
      </c>
      <c r="F535" t="n">
        <v>0.9225</v>
      </c>
      <c r="G535" s="30" t="n">
        <v>0.000191</v>
      </c>
      <c r="H535" s="14" t="n">
        <v>0.9849</v>
      </c>
      <c r="I535" t="n">
        <v>0.418513</v>
      </c>
      <c r="J535" t="n">
        <v>0.0945</v>
      </c>
      <c r="K535" t="n">
        <v>0.018451</v>
      </c>
      <c r="L535" t="n">
        <v>2.8147</v>
      </c>
      <c r="M535" t="n">
        <v>0.1212</v>
      </c>
      <c r="N535" t="n">
        <v>0.3411</v>
      </c>
      <c r="O535" t="inlineStr">
        <is>
          <t>WATCH</t>
        </is>
      </c>
    </row>
    <row r="536">
      <c r="A536" t="n">
        <v>27009857</v>
      </c>
      <c r="B536" t="n">
        <v>535</v>
      </c>
      <c r="C536" t="n">
        <v>7266</v>
      </c>
      <c r="D536" t="n">
        <v>2081</v>
      </c>
      <c r="E536" t="n">
        <v>43</v>
      </c>
      <c r="F536" t="n">
        <v>0.9212</v>
      </c>
      <c r="G536" s="30" t="n">
        <v>0.000191</v>
      </c>
      <c r="H536" s="14" t="n">
        <v>0.9851</v>
      </c>
      <c r="I536" t="n">
        <v>0.286402</v>
      </c>
      <c r="J536" t="n">
        <v>0.0207</v>
      </c>
      <c r="K536" t="n">
        <v>0.021424</v>
      </c>
      <c r="L536" t="n">
        <v>1.1531</v>
      </c>
      <c r="M536" t="n">
        <v>0.1351</v>
      </c>
      <c r="N536" t="n">
        <v>0.1557</v>
      </c>
      <c r="O536" t="inlineStr">
        <is>
          <t>WATCH</t>
        </is>
      </c>
    </row>
    <row r="537">
      <c r="A537" t="n">
        <v>24045148</v>
      </c>
      <c r="B537" t="n">
        <v>536</v>
      </c>
      <c r="C537" t="n">
        <v>4924</v>
      </c>
      <c r="D537" t="n">
        <v>1263</v>
      </c>
      <c r="E537" t="n">
        <v>95</v>
      </c>
      <c r="F537" t="n">
        <v>0.9206</v>
      </c>
      <c r="G537" s="30" t="n">
        <v>0.000191</v>
      </c>
      <c r="H537" s="14" t="n">
        <v>0.9853</v>
      </c>
      <c r="I537" t="n">
        <v>0.256499</v>
      </c>
      <c r="J537" t="n">
        <v>0.0752</v>
      </c>
      <c r="K537" t="n">
        <v>0.009690000000000001</v>
      </c>
      <c r="L537" t="n">
        <v>1.8794</v>
      </c>
      <c r="M537" t="n">
        <v>0.1411</v>
      </c>
      <c r="N537" t="n">
        <v>0.2652</v>
      </c>
      <c r="O537" t="inlineStr">
        <is>
          <t>GROW</t>
        </is>
      </c>
    </row>
    <row r="538">
      <c r="A538" t="n">
        <v>13435356</v>
      </c>
      <c r="B538" t="n">
        <v>537</v>
      </c>
      <c r="C538" t="n">
        <v>1765</v>
      </c>
      <c r="D538" t="n">
        <v>829</v>
      </c>
      <c r="E538" t="n">
        <v>22</v>
      </c>
      <c r="F538" t="n">
        <v>0.9202</v>
      </c>
      <c r="G538" s="30" t="n">
        <v>0.000191</v>
      </c>
      <c r="H538" s="14" t="n">
        <v>0.9855</v>
      </c>
      <c r="I538" t="n">
        <v>0.469688</v>
      </c>
      <c r="J538" t="n">
        <v>0.0265</v>
      </c>
      <c r="K538" t="n">
        <v>0.041825</v>
      </c>
      <c r="L538" t="n">
        <v>0.961</v>
      </c>
      <c r="M538" t="n">
        <v>0.2388</v>
      </c>
      <c r="N538" t="n">
        <v>0.2295</v>
      </c>
      <c r="O538" t="inlineStr">
        <is>
          <t>WATCH</t>
        </is>
      </c>
    </row>
    <row r="539">
      <c r="A539" t="n">
        <v>3422224</v>
      </c>
      <c r="B539" t="n">
        <v>538</v>
      </c>
      <c r="C539" t="n">
        <v>6856</v>
      </c>
      <c r="D539" t="n">
        <v>2030</v>
      </c>
      <c r="E539" t="n">
        <v>70</v>
      </c>
      <c r="F539" t="n">
        <v>0.9149</v>
      </c>
      <c r="G539" s="30" t="n">
        <v>0.000189</v>
      </c>
      <c r="H539" s="14" t="n">
        <v>0.9857</v>
      </c>
      <c r="I539" t="n">
        <v>0.296091</v>
      </c>
      <c r="J539" t="n">
        <v>0.0345</v>
      </c>
      <c r="K539" t="n">
        <v>0.01307</v>
      </c>
      <c r="L539" t="n">
        <v>0.9145</v>
      </c>
      <c r="M539" t="n">
        <v>0.2024</v>
      </c>
      <c r="N539" t="n">
        <v>0.1851</v>
      </c>
      <c r="O539" t="inlineStr">
        <is>
          <t>GROW</t>
        </is>
      </c>
    </row>
    <row r="540">
      <c r="A540" t="n">
        <v>25998434</v>
      </c>
      <c r="B540" t="n">
        <v>539</v>
      </c>
      <c r="C540" t="n">
        <v>3444</v>
      </c>
      <c r="D540" t="n">
        <v>1012</v>
      </c>
      <c r="E540" t="n">
        <v>55</v>
      </c>
      <c r="F540" t="n">
        <v>0.9131</v>
      </c>
      <c r="G540" s="30" t="n">
        <v>0.000189</v>
      </c>
      <c r="H540" s="14" t="n">
        <v>0.9859</v>
      </c>
      <c r="I540" t="n">
        <v>0.293844</v>
      </c>
      <c r="J540" t="n">
        <v>0.0543</v>
      </c>
      <c r="K540" t="n">
        <v>0.016602</v>
      </c>
      <c r="L540" t="n">
        <v>0.6957</v>
      </c>
      <c r="M540" t="n">
        <v>0.2499</v>
      </c>
      <c r="N540" t="n">
        <v>0.1738</v>
      </c>
      <c r="O540" t="inlineStr">
        <is>
          <t>GROW</t>
        </is>
      </c>
    </row>
    <row r="541">
      <c r="A541" t="n">
        <v>25843273</v>
      </c>
      <c r="B541" t="n">
        <v>540</v>
      </c>
      <c r="C541" t="n">
        <v>3198</v>
      </c>
      <c r="D541" t="n">
        <v>1349</v>
      </c>
      <c r="E541" t="n">
        <v>64</v>
      </c>
      <c r="F541" t="n">
        <v>0.8968</v>
      </c>
      <c r="G541" s="30" t="n">
        <v>0.000186</v>
      </c>
      <c r="H541" s="14" t="n">
        <v>0.9861</v>
      </c>
      <c r="I541" t="n">
        <v>0.421826</v>
      </c>
      <c r="J541" t="n">
        <v>0.0474</v>
      </c>
      <c r="K541" t="n">
        <v>0.014013</v>
      </c>
      <c r="L541" t="n">
        <v>1.3586</v>
      </c>
      <c r="M541" t="n">
        <v>0.1699</v>
      </c>
      <c r="N541" t="n">
        <v>0.2308</v>
      </c>
      <c r="O541" t="inlineStr">
        <is>
          <t>GROW</t>
        </is>
      </c>
    </row>
    <row r="542">
      <c r="A542" t="n">
        <v>31323522</v>
      </c>
      <c r="B542" t="n">
        <v>541</v>
      </c>
      <c r="C542" t="n">
        <v>7731</v>
      </c>
      <c r="D542" t="n">
        <v>1142</v>
      </c>
      <c r="E542" t="n">
        <v>135</v>
      </c>
      <c r="F542" t="n">
        <v>0.8934</v>
      </c>
      <c r="G542" s="30" t="n">
        <v>0.000185</v>
      </c>
      <c r="H542" s="14" t="n">
        <v>0.9862</v>
      </c>
      <c r="I542" t="n">
        <v>0.147717</v>
      </c>
      <c r="J542" t="n">
        <v>0.1182</v>
      </c>
      <c r="K542" t="n">
        <v>0.006618</v>
      </c>
      <c r="L542" t="n">
        <v>0.1748</v>
      </c>
      <c r="M542" t="n">
        <v>0.3945</v>
      </c>
      <c r="N542" t="n">
        <v>0.06900000000000001</v>
      </c>
      <c r="O542" t="inlineStr">
        <is>
          <t>GROW</t>
        </is>
      </c>
    </row>
    <row r="543">
      <c r="A543" t="n">
        <v>28031695</v>
      </c>
      <c r="B543" t="n">
        <v>542</v>
      </c>
      <c r="C543" t="n">
        <v>9532</v>
      </c>
      <c r="D543" t="n">
        <v>3597</v>
      </c>
      <c r="E543" t="n">
        <v>55</v>
      </c>
      <c r="F543" t="n">
        <v>0.8796</v>
      </c>
      <c r="G543" s="30" t="n">
        <v>0.000182</v>
      </c>
      <c r="H543" s="14" t="n">
        <v>0.9864000000000001</v>
      </c>
      <c r="I543" t="n">
        <v>0.37736</v>
      </c>
      <c r="J543" t="n">
        <v>0.0153</v>
      </c>
      <c r="K543" t="n">
        <v>0.015993</v>
      </c>
      <c r="L543" t="n">
        <v>0.9952</v>
      </c>
      <c r="M543" t="n">
        <v>0.1709</v>
      </c>
      <c r="N543" t="n">
        <v>0.1701</v>
      </c>
      <c r="O543" t="inlineStr">
        <is>
          <t>GROW</t>
        </is>
      </c>
    </row>
    <row r="544">
      <c r="A544" t="n">
        <v>3877978</v>
      </c>
      <c r="B544" t="n">
        <v>543</v>
      </c>
      <c r="C544" t="n">
        <v>4686</v>
      </c>
      <c r="D544" t="n">
        <v>1652</v>
      </c>
      <c r="E544" t="n">
        <v>34</v>
      </c>
      <c r="F544" t="n">
        <v>0.8766</v>
      </c>
      <c r="G544" s="30" t="n">
        <v>0.000182</v>
      </c>
      <c r="H544" s="14" t="n">
        <v>0.9866</v>
      </c>
      <c r="I544" t="n">
        <v>0.352539</v>
      </c>
      <c r="J544" t="n">
        <v>0.0206</v>
      </c>
      <c r="K544" t="n">
        <v>0.025781</v>
      </c>
      <c r="M544" t="n">
        <v>0.5216</v>
      </c>
      <c r="O544" t="inlineStr">
        <is>
          <t>WATCH</t>
        </is>
      </c>
    </row>
    <row r="545">
      <c r="A545" t="n">
        <v>26750599</v>
      </c>
      <c r="B545" t="n">
        <v>544</v>
      </c>
      <c r="C545" t="n">
        <v>2081</v>
      </c>
      <c r="D545" t="n">
        <v>670</v>
      </c>
      <c r="E545" t="n">
        <v>4</v>
      </c>
      <c r="F545" t="n">
        <v>0.8751</v>
      </c>
      <c r="G545" s="30" t="n">
        <v>0.000181</v>
      </c>
      <c r="H545" s="14" t="n">
        <v>0.9868</v>
      </c>
      <c r="I545" t="n">
        <v>0.321961</v>
      </c>
      <c r="J545" t="n">
        <v>0.006</v>
      </c>
      <c r="K545" t="n">
        <v>0.218769</v>
      </c>
      <c r="L545" t="n">
        <v>1.2097</v>
      </c>
      <c r="M545" t="n">
        <v>0.1529</v>
      </c>
      <c r="N545" t="n">
        <v>0.1849</v>
      </c>
      <c r="O545" t="inlineStr">
        <is>
          <t>WATCH</t>
        </is>
      </c>
    </row>
    <row r="546">
      <c r="A546" t="n">
        <v>25172774</v>
      </c>
      <c r="B546" t="n">
        <v>545</v>
      </c>
      <c r="C546" t="n">
        <v>10909</v>
      </c>
      <c r="D546" t="n">
        <v>2759</v>
      </c>
      <c r="E546" t="n">
        <v>95</v>
      </c>
      <c r="F546" t="n">
        <v>0.8655</v>
      </c>
      <c r="G546" s="30" t="n">
        <v>0.000179</v>
      </c>
      <c r="H546" s="14" t="n">
        <v>0.987</v>
      </c>
      <c r="I546" t="n">
        <v>0.25291</v>
      </c>
      <c r="J546" t="n">
        <v>0.0344</v>
      </c>
      <c r="K546" t="n">
        <v>0.009110999999999999</v>
      </c>
      <c r="L546" t="n">
        <v>1.0029</v>
      </c>
      <c r="M546" t="n">
        <v>0.179</v>
      </c>
      <c r="N546" t="n">
        <v>0.1795</v>
      </c>
      <c r="O546" t="inlineStr">
        <is>
          <t>GROW</t>
        </is>
      </c>
    </row>
    <row r="547">
      <c r="A547" t="n">
        <v>23310435</v>
      </c>
      <c r="B547" t="n">
        <v>546</v>
      </c>
      <c r="C547" t="n">
        <v>3479</v>
      </c>
      <c r="D547" t="n">
        <v>617</v>
      </c>
      <c r="E547" t="n">
        <v>24</v>
      </c>
      <c r="F547" t="n">
        <v>0.8607</v>
      </c>
      <c r="G547" s="30" t="n">
        <v>0.000178</v>
      </c>
      <c r="H547" s="14" t="n">
        <v>0.9871</v>
      </c>
      <c r="I547" t="n">
        <v>0.17735</v>
      </c>
      <c r="J547" t="n">
        <v>0.0389</v>
      </c>
      <c r="K547" t="n">
        <v>0.035862</v>
      </c>
      <c r="L547" t="n">
        <v>1.1974</v>
      </c>
      <c r="M547" t="n">
        <v>0.1468</v>
      </c>
      <c r="N547" t="n">
        <v>0.1757</v>
      </c>
      <c r="O547" t="inlineStr">
        <is>
          <t>WATCH</t>
        </is>
      </c>
    </row>
    <row r="548">
      <c r="A548" t="n">
        <v>604249</v>
      </c>
      <c r="B548" t="n">
        <v>547</v>
      </c>
      <c r="C548" t="n">
        <v>13712</v>
      </c>
      <c r="D548" t="n">
        <v>6455</v>
      </c>
      <c r="E548" t="n">
        <v>252</v>
      </c>
      <c r="F548" t="n">
        <v>0.8532999999999999</v>
      </c>
      <c r="G548" s="30" t="n">
        <v>0.000177</v>
      </c>
      <c r="H548" s="14" t="n">
        <v>0.9873</v>
      </c>
      <c r="I548" t="n">
        <v>0.470756</v>
      </c>
      <c r="J548" t="n">
        <v>0.039</v>
      </c>
      <c r="K548" t="n">
        <v>0.003386</v>
      </c>
      <c r="L548" t="n">
        <v>0.7204</v>
      </c>
      <c r="M548" t="n">
        <v>0.2111</v>
      </c>
      <c r="N548" t="n">
        <v>0.1521</v>
      </c>
      <c r="O548" t="inlineStr">
        <is>
          <t>GROW</t>
        </is>
      </c>
    </row>
    <row r="549">
      <c r="A549" t="n">
        <v>12513174</v>
      </c>
      <c r="B549" t="n">
        <v>548</v>
      </c>
      <c r="C549" t="n">
        <v>4727</v>
      </c>
      <c r="D549" t="n">
        <v>492</v>
      </c>
      <c r="E549" t="n">
        <v>13</v>
      </c>
      <c r="F549" t="n">
        <v>0.852</v>
      </c>
      <c r="G549" s="30" t="n">
        <v>0.000176</v>
      </c>
      <c r="H549" s="14" t="n">
        <v>0.9875</v>
      </c>
      <c r="I549" t="n">
        <v>0.104083</v>
      </c>
      <c r="J549" t="n">
        <v>0.0264</v>
      </c>
      <c r="K549" t="n">
        <v>0.065536</v>
      </c>
      <c r="L549" t="n">
        <v>0.4895</v>
      </c>
      <c r="M549" t="n">
        <v>0.3371</v>
      </c>
      <c r="N549" t="n">
        <v>0.165</v>
      </c>
      <c r="O549" t="inlineStr">
        <is>
          <t>WATCH</t>
        </is>
      </c>
    </row>
    <row r="550">
      <c r="A550" t="n">
        <v>24097956</v>
      </c>
      <c r="B550" t="n">
        <v>549</v>
      </c>
      <c r="C550" t="n">
        <v>5210</v>
      </c>
      <c r="D550" t="n">
        <v>1497</v>
      </c>
      <c r="E550" t="n">
        <v>24</v>
      </c>
      <c r="F550" t="n">
        <v>0.8494</v>
      </c>
      <c r="G550" s="30" t="n">
        <v>0.000176</v>
      </c>
      <c r="H550" s="14" t="n">
        <v>0.9877</v>
      </c>
      <c r="I550" t="n">
        <v>0.287332</v>
      </c>
      <c r="J550" t="n">
        <v>0.016</v>
      </c>
      <c r="K550" t="n">
        <v>0.03539</v>
      </c>
      <c r="L550" t="n">
        <v>0.5469000000000001</v>
      </c>
      <c r="M550" t="n">
        <v>0.2805</v>
      </c>
      <c r="N550" t="n">
        <v>0.1534</v>
      </c>
      <c r="O550" t="inlineStr">
        <is>
          <t>WATCH</t>
        </is>
      </c>
    </row>
    <row r="551">
      <c r="A551" t="n">
        <v>7544834</v>
      </c>
      <c r="B551" t="n">
        <v>550</v>
      </c>
      <c r="C551" t="n">
        <v>9962</v>
      </c>
      <c r="D551" t="n">
        <v>1220</v>
      </c>
      <c r="E551" t="n">
        <v>169</v>
      </c>
      <c r="F551" t="n">
        <v>0.8471</v>
      </c>
      <c r="G551" s="30" t="n">
        <v>0.000175</v>
      </c>
      <c r="H551" s="14" t="n">
        <v>0.9878</v>
      </c>
      <c r="I551" t="n">
        <v>0.122465</v>
      </c>
      <c r="J551" t="n">
        <v>0.1385</v>
      </c>
      <c r="K551" t="n">
        <v>0.005013</v>
      </c>
      <c r="L551" t="n">
        <v>0.5631</v>
      </c>
      <c r="M551" t="n">
        <v>0.2708</v>
      </c>
      <c r="N551" t="n">
        <v>0.1525</v>
      </c>
      <c r="O551" t="inlineStr">
        <is>
          <t>GROW</t>
        </is>
      </c>
    </row>
    <row r="552">
      <c r="A552" t="n">
        <v>6442601</v>
      </c>
      <c r="B552" t="n">
        <v>551</v>
      </c>
      <c r="C552" t="n">
        <v>5163</v>
      </c>
      <c r="D552" t="n">
        <v>2211</v>
      </c>
      <c r="E552" t="n">
        <v>89</v>
      </c>
      <c r="F552" t="n">
        <v>0.8443000000000001</v>
      </c>
      <c r="G552" s="30" t="n">
        <v>0.000175</v>
      </c>
      <c r="H552" s="14" t="n">
        <v>0.988</v>
      </c>
      <c r="I552" t="n">
        <v>0.428239</v>
      </c>
      <c r="J552" t="n">
        <v>0.0403</v>
      </c>
      <c r="K552" t="n">
        <v>0.009487000000000001</v>
      </c>
      <c r="L552" t="n">
        <v>1.3184</v>
      </c>
      <c r="M552" t="n">
        <v>0.1786</v>
      </c>
      <c r="N552" t="n">
        <v>0.2355</v>
      </c>
      <c r="O552" t="inlineStr">
        <is>
          <t>GROW</t>
        </is>
      </c>
    </row>
    <row r="553">
      <c r="A553" t="n">
        <v>24942663</v>
      </c>
      <c r="B553" t="n">
        <v>552</v>
      </c>
      <c r="C553" t="n">
        <v>2802</v>
      </c>
      <c r="D553" t="n">
        <v>733</v>
      </c>
      <c r="E553" t="n">
        <v>10</v>
      </c>
      <c r="F553" t="n">
        <v>0.8397</v>
      </c>
      <c r="G553" s="30" t="n">
        <v>0.000174</v>
      </c>
      <c r="H553" s="14" t="n">
        <v>0.9882</v>
      </c>
      <c r="I553" t="n">
        <v>0.261599</v>
      </c>
      <c r="J553" t="n">
        <v>0.0136</v>
      </c>
      <c r="K553" t="n">
        <v>0.08397300000000001</v>
      </c>
      <c r="L553" t="n">
        <v>0.7886</v>
      </c>
      <c r="M553" t="n">
        <v>0.2675</v>
      </c>
      <c r="N553" t="n">
        <v>0.2109</v>
      </c>
      <c r="O553" t="inlineStr">
        <is>
          <t>WATCH</t>
        </is>
      </c>
    </row>
    <row r="554">
      <c r="A554" t="n">
        <v>17661707</v>
      </c>
      <c r="B554" t="n">
        <v>553</v>
      </c>
      <c r="C554" t="n">
        <v>2771</v>
      </c>
      <c r="D554" t="n">
        <v>818</v>
      </c>
      <c r="E554" t="n">
        <v>3</v>
      </c>
      <c r="F554" t="n">
        <v>0.8387</v>
      </c>
      <c r="G554" s="30" t="n">
        <v>0.000174</v>
      </c>
      <c r="H554" s="14" t="n">
        <v>0.9883999999999999</v>
      </c>
      <c r="I554" t="n">
        <v>0.2952</v>
      </c>
      <c r="J554" t="n">
        <v>0.0037</v>
      </c>
      <c r="K554" t="n">
        <v>0.279574</v>
      </c>
      <c r="L554" t="n">
        <v>0.5153</v>
      </c>
      <c r="M554" t="n">
        <v>0.3</v>
      </c>
      <c r="N554" t="n">
        <v>0.1546</v>
      </c>
      <c r="O554" t="inlineStr">
        <is>
          <t>WATCH</t>
        </is>
      </c>
    </row>
    <row r="555">
      <c r="A555" t="n">
        <v>1869938</v>
      </c>
      <c r="B555" t="n">
        <v>554</v>
      </c>
      <c r="C555" t="n">
        <v>2575</v>
      </c>
      <c r="D555" t="n">
        <v>1178</v>
      </c>
      <c r="E555" t="n">
        <v>9</v>
      </c>
      <c r="F555" t="n">
        <v>0.8280999999999999</v>
      </c>
      <c r="G555" s="30" t="n">
        <v>0.000171</v>
      </c>
      <c r="H555" s="14" t="n">
        <v>0.9885</v>
      </c>
      <c r="I555" t="n">
        <v>0.457476</v>
      </c>
      <c r="J555" t="n">
        <v>0.0076</v>
      </c>
      <c r="K555" t="n">
        <v>0.092012</v>
      </c>
      <c r="L555" t="n">
        <v>0.8619</v>
      </c>
      <c r="M555" t="n">
        <v>0.1519</v>
      </c>
      <c r="N555" t="n">
        <v>0.131</v>
      </c>
      <c r="O555" t="inlineStr">
        <is>
          <t>WATCH</t>
        </is>
      </c>
    </row>
    <row r="556">
      <c r="A556" t="n">
        <v>11642017</v>
      </c>
      <c r="B556" t="n">
        <v>555</v>
      </c>
      <c r="C556" t="n">
        <v>2030</v>
      </c>
      <c r="D556" t="n">
        <v>564</v>
      </c>
      <c r="E556" t="n">
        <v>36</v>
      </c>
      <c r="F556" t="n">
        <v>0.8141</v>
      </c>
      <c r="G556" s="30" t="n">
        <v>0.000169</v>
      </c>
      <c r="H556" s="14" t="n">
        <v>0.9887</v>
      </c>
      <c r="I556" t="n">
        <v>0.277833</v>
      </c>
      <c r="J556" t="n">
        <v>0.0638</v>
      </c>
      <c r="K556" t="n">
        <v>0.022614</v>
      </c>
      <c r="L556" t="n">
        <v>1.433</v>
      </c>
      <c r="M556" t="n">
        <v>0.1275</v>
      </c>
      <c r="N556" t="n">
        <v>0.1827</v>
      </c>
      <c r="O556" t="inlineStr">
        <is>
          <t>WATCH</t>
        </is>
      </c>
    </row>
    <row r="557">
      <c r="A557" t="n">
        <v>604244</v>
      </c>
      <c r="B557" t="n">
        <v>556</v>
      </c>
      <c r="C557" t="n">
        <v>14701</v>
      </c>
      <c r="D557" t="n">
        <v>7901</v>
      </c>
      <c r="E557" t="n">
        <v>362</v>
      </c>
      <c r="F557" t="n">
        <v>0.8131</v>
      </c>
      <c r="G557" s="30" t="n">
        <v>0.000168</v>
      </c>
      <c r="H557" s="14" t="n">
        <v>0.9889</v>
      </c>
      <c r="I557" t="n">
        <v>0.537446</v>
      </c>
      <c r="J557" t="n">
        <v>0.0458</v>
      </c>
      <c r="K557" t="n">
        <v>0.002246</v>
      </c>
      <c r="L557" t="n">
        <v>0.9816</v>
      </c>
      <c r="M557" t="n">
        <v>0.1613</v>
      </c>
      <c r="N557" t="n">
        <v>0.1583</v>
      </c>
      <c r="O557" t="inlineStr">
        <is>
          <t>GROW</t>
        </is>
      </c>
    </row>
    <row r="558">
      <c r="A558" t="n">
        <v>3694556</v>
      </c>
      <c r="B558" t="n">
        <v>557</v>
      </c>
      <c r="C558" t="n">
        <v>6562</v>
      </c>
      <c r="D558" t="n">
        <v>3222</v>
      </c>
      <c r="E558" t="n">
        <v>237</v>
      </c>
      <c r="F558" t="n">
        <v>0.8107</v>
      </c>
      <c r="G558" s="30" t="n">
        <v>0.000168</v>
      </c>
      <c r="H558" s="14" t="n">
        <v>0.989</v>
      </c>
      <c r="I558" t="n">
        <v>0.491009</v>
      </c>
      <c r="J558" t="n">
        <v>0.0736</v>
      </c>
      <c r="K558" t="n">
        <v>0.003421</v>
      </c>
      <c r="L558" t="n">
        <v>0.5794</v>
      </c>
      <c r="M558" t="n">
        <v>0.2301</v>
      </c>
      <c r="N558" t="n">
        <v>0.1333</v>
      </c>
      <c r="O558" t="inlineStr">
        <is>
          <t>GROW</t>
        </is>
      </c>
    </row>
    <row r="559">
      <c r="A559" t="n">
        <v>24267774</v>
      </c>
      <c r="B559" t="n">
        <v>558</v>
      </c>
      <c r="C559" t="n">
        <v>8692</v>
      </c>
      <c r="D559" t="n">
        <v>3644</v>
      </c>
      <c r="E559" t="n">
        <v>157</v>
      </c>
      <c r="F559" t="n">
        <v>0.8063</v>
      </c>
      <c r="G559" s="30" t="n">
        <v>0.000167</v>
      </c>
      <c r="H559" s="14" t="n">
        <v>0.9892</v>
      </c>
      <c r="I559" t="n">
        <v>0.419236</v>
      </c>
      <c r="J559" t="n">
        <v>0.0431</v>
      </c>
      <c r="K559" t="n">
        <v>0.005136</v>
      </c>
      <c r="L559" t="n">
        <v>0.6895</v>
      </c>
      <c r="M559" t="n">
        <v>0.2285</v>
      </c>
      <c r="N559" t="n">
        <v>0.1575</v>
      </c>
      <c r="O559" t="inlineStr">
        <is>
          <t>GROW</t>
        </is>
      </c>
    </row>
    <row r="560">
      <c r="A560" t="n">
        <v>27031690</v>
      </c>
      <c r="B560" t="n">
        <v>559</v>
      </c>
      <c r="C560" t="n">
        <v>10370</v>
      </c>
      <c r="D560" t="n">
        <v>3795</v>
      </c>
      <c r="E560" t="n">
        <v>80</v>
      </c>
      <c r="F560" t="n">
        <v>0.8056</v>
      </c>
      <c r="G560" s="30" t="n">
        <v>0.000167</v>
      </c>
      <c r="H560" s="14" t="n">
        <v>0.9893999999999999</v>
      </c>
      <c r="I560" t="n">
        <v>0.365959</v>
      </c>
      <c r="J560" t="n">
        <v>0.0211</v>
      </c>
      <c r="K560" t="n">
        <v>0.01007</v>
      </c>
      <c r="L560" t="n">
        <v>0.7621</v>
      </c>
      <c r="M560" t="n">
        <v>0.2065</v>
      </c>
      <c r="N560" t="n">
        <v>0.1574</v>
      </c>
      <c r="O560" t="inlineStr">
        <is>
          <t>GROW</t>
        </is>
      </c>
    </row>
    <row r="561">
      <c r="A561" t="n">
        <v>6810192</v>
      </c>
      <c r="B561" t="n">
        <v>560</v>
      </c>
      <c r="C561" t="n">
        <v>2720</v>
      </c>
      <c r="D561" t="n">
        <v>1280</v>
      </c>
      <c r="E561" t="n">
        <v>461</v>
      </c>
      <c r="F561" t="n">
        <v>0.8038999999999999</v>
      </c>
      <c r="G561" s="30" t="n">
        <v>0.000166</v>
      </c>
      <c r="H561" s="14" t="n">
        <v>0.9895</v>
      </c>
      <c r="I561" t="n">
        <v>0.470588</v>
      </c>
      <c r="J561" t="n">
        <v>0.3602</v>
      </c>
      <c r="K561" t="n">
        <v>0.001744</v>
      </c>
      <c r="L561" t="n">
        <v>1.5284</v>
      </c>
      <c r="M561" t="n">
        <v>0.132</v>
      </c>
      <c r="N561" t="n">
        <v>0.2018</v>
      </c>
      <c r="O561" t="inlineStr">
        <is>
          <t>GROW</t>
        </is>
      </c>
    </row>
    <row r="562">
      <c r="A562" t="n">
        <v>12765785</v>
      </c>
      <c r="B562" t="n">
        <v>561</v>
      </c>
      <c r="C562" t="n">
        <v>9025</v>
      </c>
      <c r="D562" t="n">
        <v>2949</v>
      </c>
      <c r="E562" t="n">
        <v>27</v>
      </c>
      <c r="F562" t="n">
        <v>0.7955</v>
      </c>
      <c r="G562" s="30" t="n">
        <v>0.000165</v>
      </c>
      <c r="H562" s="14" t="n">
        <v>0.9897</v>
      </c>
      <c r="I562" t="n">
        <v>0.326759</v>
      </c>
      <c r="J562" t="n">
        <v>0.0092</v>
      </c>
      <c r="K562" t="n">
        <v>0.029464</v>
      </c>
      <c r="L562" t="n">
        <v>0.618</v>
      </c>
      <c r="M562" t="n">
        <v>0.1495</v>
      </c>
      <c r="N562" t="n">
        <v>0.0924</v>
      </c>
      <c r="O562" t="inlineStr">
        <is>
          <t>WATCH</t>
        </is>
      </c>
    </row>
    <row r="563">
      <c r="A563" t="n">
        <v>15500296</v>
      </c>
      <c r="B563" t="n">
        <v>562</v>
      </c>
      <c r="C563" t="n">
        <v>7343</v>
      </c>
      <c r="D563" t="n">
        <v>1440</v>
      </c>
      <c r="E563" t="n">
        <v>43</v>
      </c>
      <c r="F563" t="n">
        <v>0.7887999999999999</v>
      </c>
      <c r="G563" s="30" t="n">
        <v>0.000163</v>
      </c>
      <c r="H563" s="14" t="n">
        <v>0.9899</v>
      </c>
      <c r="I563" t="n">
        <v>0.196105</v>
      </c>
      <c r="J563" t="n">
        <v>0.0299</v>
      </c>
      <c r="K563" t="n">
        <v>0.018343</v>
      </c>
      <c r="L563" t="n">
        <v>0.9613</v>
      </c>
      <c r="M563" t="n">
        <v>0.2146</v>
      </c>
      <c r="N563" t="n">
        <v>0.2063</v>
      </c>
      <c r="O563" t="inlineStr">
        <is>
          <t>WATCH</t>
        </is>
      </c>
    </row>
    <row r="564">
      <c r="A564" t="n">
        <v>32042839</v>
      </c>
      <c r="B564" t="n">
        <v>563</v>
      </c>
      <c r="C564" t="n">
        <v>1754</v>
      </c>
      <c r="D564" t="n">
        <v>613</v>
      </c>
      <c r="E564" t="n">
        <v>67</v>
      </c>
      <c r="F564" t="n">
        <v>0.7825</v>
      </c>
      <c r="G564" s="30" t="n">
        <v>0.000162</v>
      </c>
      <c r="H564" s="14" t="n">
        <v>0.99</v>
      </c>
      <c r="I564" t="n">
        <v>0.349487</v>
      </c>
      <c r="J564" t="n">
        <v>0.1093</v>
      </c>
      <c r="K564" t="n">
        <v>0.011679</v>
      </c>
      <c r="L564" t="n">
        <v>1.6402</v>
      </c>
      <c r="M564" t="n">
        <v>0.137</v>
      </c>
      <c r="N564" t="n">
        <v>0.2247</v>
      </c>
      <c r="O564" t="inlineStr">
        <is>
          <t>GROW</t>
        </is>
      </c>
    </row>
    <row r="565">
      <c r="A565" t="n">
        <v>26729616</v>
      </c>
      <c r="B565" t="n">
        <v>564</v>
      </c>
      <c r="C565" t="n">
        <v>4677</v>
      </c>
      <c r="D565" t="n">
        <v>1603</v>
      </c>
      <c r="E565" t="n">
        <v>33</v>
      </c>
      <c r="F565" t="n">
        <v>0.7712</v>
      </c>
      <c r="G565" s="30" t="n">
        <v>0.00016</v>
      </c>
      <c r="H565" s="14" t="n">
        <v>0.9902</v>
      </c>
      <c r="I565" t="n">
        <v>0.342741</v>
      </c>
      <c r="J565" t="n">
        <v>0.0206</v>
      </c>
      <c r="K565" t="n">
        <v>0.023369</v>
      </c>
      <c r="L565" t="n">
        <v>0.1985</v>
      </c>
      <c r="M565" t="n">
        <v>0.392</v>
      </c>
      <c r="N565" t="n">
        <v>0.07779999999999999</v>
      </c>
      <c r="O565" t="inlineStr">
        <is>
          <t>WATCH</t>
        </is>
      </c>
    </row>
    <row r="566">
      <c r="A566" t="n">
        <v>10321092</v>
      </c>
      <c r="B566" t="n">
        <v>565</v>
      </c>
      <c r="C566" t="n">
        <v>2158</v>
      </c>
      <c r="D566" t="n">
        <v>830</v>
      </c>
      <c r="E566" t="n">
        <v>21</v>
      </c>
      <c r="F566" t="n">
        <v>0.7609</v>
      </c>
      <c r="G566" s="30" t="n">
        <v>0.000158</v>
      </c>
      <c r="H566" s="14" t="n">
        <v>0.9903999999999999</v>
      </c>
      <c r="I566" t="n">
        <v>0.384615</v>
      </c>
      <c r="J566" t="n">
        <v>0.0253</v>
      </c>
      <c r="K566" t="n">
        <v>0.036234</v>
      </c>
      <c r="L566" t="n">
        <v>2.3299</v>
      </c>
      <c r="M566" t="n">
        <v>0.1127</v>
      </c>
      <c r="N566" t="n">
        <v>0.2627</v>
      </c>
      <c r="O566" t="inlineStr">
        <is>
          <t>WATCH</t>
        </is>
      </c>
    </row>
    <row r="567">
      <c r="A567" t="n">
        <v>14398570</v>
      </c>
      <c r="B567" t="n">
        <v>566</v>
      </c>
      <c r="C567" t="n">
        <v>3966</v>
      </c>
      <c r="D567" t="n">
        <v>1295</v>
      </c>
      <c r="E567" t="n">
        <v>86</v>
      </c>
      <c r="F567" t="n">
        <v>0.7569</v>
      </c>
      <c r="G567" s="30" t="n">
        <v>0.000157</v>
      </c>
      <c r="H567" s="14" t="n">
        <v>0.9905</v>
      </c>
      <c r="I567" t="n">
        <v>0.326525</v>
      </c>
      <c r="J567" t="n">
        <v>0.0664</v>
      </c>
      <c r="K567" t="n">
        <v>0.008801</v>
      </c>
      <c r="L567" t="n">
        <v>0.8925999999999999</v>
      </c>
      <c r="M567" t="n">
        <v>0.1876</v>
      </c>
      <c r="N567" t="n">
        <v>0.1674</v>
      </c>
      <c r="O567" t="inlineStr">
        <is>
          <t>GROW</t>
        </is>
      </c>
    </row>
    <row r="568">
      <c r="A568" t="n">
        <v>31084986</v>
      </c>
      <c r="B568" t="n">
        <v>567</v>
      </c>
      <c r="C568" t="n">
        <v>4606</v>
      </c>
      <c r="D568" t="n">
        <v>1677</v>
      </c>
      <c r="E568" t="n">
        <v>136</v>
      </c>
      <c r="F568" t="n">
        <v>0.753</v>
      </c>
      <c r="G568" s="30" t="n">
        <v>0.000156</v>
      </c>
      <c r="H568" s="14" t="n">
        <v>0.9907</v>
      </c>
      <c r="I568" t="n">
        <v>0.36409</v>
      </c>
      <c r="J568" t="n">
        <v>0.08110000000000001</v>
      </c>
      <c r="K568" t="n">
        <v>0.005537</v>
      </c>
      <c r="L568" t="n">
        <v>0.9922</v>
      </c>
      <c r="M568" t="n">
        <v>0.169</v>
      </c>
      <c r="N568" t="n">
        <v>0.1677</v>
      </c>
      <c r="O568" t="inlineStr">
        <is>
          <t>GROW</t>
        </is>
      </c>
    </row>
    <row r="569">
      <c r="A569" t="n">
        <v>8403854</v>
      </c>
      <c r="B569" t="n">
        <v>568</v>
      </c>
      <c r="C569" t="n">
        <v>1886</v>
      </c>
      <c r="D569" t="n">
        <v>844</v>
      </c>
      <c r="E569" t="n">
        <v>46</v>
      </c>
      <c r="F569" t="n">
        <v>0.7486</v>
      </c>
      <c r="G569" s="30" t="n">
        <v>0.000155</v>
      </c>
      <c r="H569" s="14" t="n">
        <v>0.9908</v>
      </c>
      <c r="I569" t="n">
        <v>0.447508</v>
      </c>
      <c r="J569" t="n">
        <v>0.0545</v>
      </c>
      <c r="K569" t="n">
        <v>0.016273</v>
      </c>
      <c r="L569" t="n">
        <v>0.538</v>
      </c>
      <c r="M569" t="n">
        <v>0.2018</v>
      </c>
      <c r="N569" t="n">
        <v>0.1085</v>
      </c>
      <c r="O569" t="inlineStr">
        <is>
          <t>GROW</t>
        </is>
      </c>
    </row>
    <row r="570">
      <c r="A570" t="n">
        <v>12474087</v>
      </c>
      <c r="B570" t="n">
        <v>569</v>
      </c>
      <c r="C570" t="n">
        <v>2450</v>
      </c>
      <c r="D570" t="n">
        <v>809</v>
      </c>
      <c r="E570" t="n">
        <v>18</v>
      </c>
      <c r="F570" t="n">
        <v>0.7486</v>
      </c>
      <c r="G570" s="30" t="n">
        <v>0.000155</v>
      </c>
      <c r="H570" s="14" t="n">
        <v>0.991</v>
      </c>
      <c r="I570" t="n">
        <v>0.330204</v>
      </c>
      <c r="J570" t="n">
        <v>0.0222</v>
      </c>
      <c r="K570" t="n">
        <v>0.041587</v>
      </c>
      <c r="L570" t="n">
        <v>31.3777</v>
      </c>
      <c r="M570" t="n">
        <v>0.0125</v>
      </c>
      <c r="N570" t="n">
        <v>0.392</v>
      </c>
      <c r="O570" t="inlineStr">
        <is>
          <t>WATCH</t>
        </is>
      </c>
    </row>
    <row r="571">
      <c r="A571" t="n">
        <v>12491647</v>
      </c>
      <c r="B571" t="n">
        <v>570</v>
      </c>
      <c r="C571" t="n">
        <v>10794</v>
      </c>
      <c r="D571" t="n">
        <v>3742</v>
      </c>
      <c r="E571" t="n">
        <v>19</v>
      </c>
      <c r="F571" t="n">
        <v>0.7472</v>
      </c>
      <c r="G571" s="30" t="n">
        <v>0.000155</v>
      </c>
      <c r="H571" s="14" t="n">
        <v>0.9911</v>
      </c>
      <c r="I571" t="n">
        <v>0.346674</v>
      </c>
      <c r="J571" t="n">
        <v>0.0051</v>
      </c>
      <c r="K571" t="n">
        <v>0.039326</v>
      </c>
      <c r="L571" t="n">
        <v>0.8416</v>
      </c>
      <c r="M571" t="n">
        <v>0.2017</v>
      </c>
      <c r="N571" t="n">
        <v>0.1697</v>
      </c>
      <c r="O571" t="inlineStr">
        <is>
          <t>WATCH</t>
        </is>
      </c>
    </row>
    <row r="572">
      <c r="A572" t="n">
        <v>1341198</v>
      </c>
      <c r="B572" t="n">
        <v>571</v>
      </c>
      <c r="C572" t="n">
        <v>2841</v>
      </c>
      <c r="D572" t="n">
        <v>862</v>
      </c>
      <c r="E572" t="n">
        <v>107</v>
      </c>
      <c r="F572" t="n">
        <v>0.7363</v>
      </c>
      <c r="G572" s="30" t="n">
        <v>0.000152</v>
      </c>
      <c r="H572" s="14" t="n">
        <v>0.9913</v>
      </c>
      <c r="I572" t="n">
        <v>0.303414</v>
      </c>
      <c r="J572" t="n">
        <v>0.1241</v>
      </c>
      <c r="K572" t="n">
        <v>0.006881</v>
      </c>
      <c r="L572" t="n">
        <v>0.8447</v>
      </c>
      <c r="M572" t="n">
        <v>0.1721</v>
      </c>
      <c r="N572" t="n">
        <v>0.1453</v>
      </c>
      <c r="O572" t="inlineStr">
        <is>
          <t>GROW</t>
        </is>
      </c>
    </row>
    <row r="573">
      <c r="A573" t="n">
        <v>25866075</v>
      </c>
      <c r="B573" t="n">
        <v>572</v>
      </c>
      <c r="C573" t="n">
        <v>13349</v>
      </c>
      <c r="D573" t="n">
        <v>3031</v>
      </c>
      <c r="E573" t="n">
        <v>107</v>
      </c>
      <c r="F573" t="n">
        <v>0.7296</v>
      </c>
      <c r="G573" s="30" t="n">
        <v>0.000151</v>
      </c>
      <c r="H573" s="14" t="n">
        <v>0.9913999999999999</v>
      </c>
      <c r="I573" t="n">
        <v>0.227058</v>
      </c>
      <c r="J573" t="n">
        <v>0.0353</v>
      </c>
      <c r="K573" t="n">
        <v>0.006818</v>
      </c>
      <c r="L573" t="n">
        <v>1.2628</v>
      </c>
      <c r="M573" t="n">
        <v>0.158</v>
      </c>
      <c r="N573" t="n">
        <v>0.1995</v>
      </c>
      <c r="O573" t="inlineStr">
        <is>
          <t>GROW</t>
        </is>
      </c>
    </row>
    <row r="574">
      <c r="A574" t="n">
        <v>16294809</v>
      </c>
      <c r="B574" t="n">
        <v>573</v>
      </c>
      <c r="C574" t="n">
        <v>5015</v>
      </c>
      <c r="D574" t="n">
        <v>1910</v>
      </c>
      <c r="E574" t="n">
        <v>27</v>
      </c>
      <c r="F574" t="n">
        <v>0.7185</v>
      </c>
      <c r="G574" s="30" t="n">
        <v>0.000149</v>
      </c>
      <c r="H574" s="14" t="n">
        <v>0.9916</v>
      </c>
      <c r="I574" t="n">
        <v>0.380857</v>
      </c>
      <c r="J574" t="n">
        <v>0.0141</v>
      </c>
      <c r="K574" t="n">
        <v>0.026611</v>
      </c>
      <c r="L574" t="n">
        <v>1.9364</v>
      </c>
      <c r="M574" t="n">
        <v>0.127</v>
      </c>
      <c r="N574" t="n">
        <v>0.2459</v>
      </c>
      <c r="O574" t="inlineStr">
        <is>
          <t>WATCH</t>
        </is>
      </c>
    </row>
    <row r="575">
      <c r="A575" t="n">
        <v>3610770</v>
      </c>
      <c r="B575" t="n">
        <v>574</v>
      </c>
      <c r="C575" t="n">
        <v>4893</v>
      </c>
      <c r="D575" t="n">
        <v>2509</v>
      </c>
      <c r="E575" t="n">
        <v>87</v>
      </c>
      <c r="F575" t="n">
        <v>0.7066</v>
      </c>
      <c r="G575" s="30" t="n">
        <v>0.000146</v>
      </c>
      <c r="H575" s="14" t="n">
        <v>0.9917</v>
      </c>
      <c r="I575" t="n">
        <v>0.512773</v>
      </c>
      <c r="J575" t="n">
        <v>0.0347</v>
      </c>
      <c r="K575" t="n">
        <v>0.008121</v>
      </c>
      <c r="L575" t="n">
        <v>0.3325</v>
      </c>
      <c r="M575" t="n">
        <v>0.3016</v>
      </c>
      <c r="N575" t="n">
        <v>0.1003</v>
      </c>
      <c r="O575" t="inlineStr">
        <is>
          <t>GROW</t>
        </is>
      </c>
    </row>
    <row r="576">
      <c r="A576" t="n">
        <v>29903689</v>
      </c>
      <c r="B576" t="n">
        <v>575</v>
      </c>
      <c r="C576" t="n">
        <v>5316</v>
      </c>
      <c r="D576" t="n">
        <v>450</v>
      </c>
      <c r="E576" t="n">
        <v>314</v>
      </c>
      <c r="F576" t="n">
        <v>0.7045</v>
      </c>
      <c r="G576" s="30" t="n">
        <v>0.000146</v>
      </c>
      <c r="H576" s="14" t="n">
        <v>0.9919</v>
      </c>
      <c r="I576" t="n">
        <v>0.08465</v>
      </c>
      <c r="J576" t="n">
        <v>0.6978</v>
      </c>
      <c r="K576" t="n">
        <v>0.002244</v>
      </c>
      <c r="L576" t="n">
        <v>3.9158</v>
      </c>
      <c r="M576" t="n">
        <v>0.0431</v>
      </c>
      <c r="N576" t="n">
        <v>0.1688</v>
      </c>
      <c r="O576" t="inlineStr">
        <is>
          <t>GROW</t>
        </is>
      </c>
    </row>
    <row r="577">
      <c r="A577" t="n">
        <v>17445189</v>
      </c>
      <c r="B577" t="n">
        <v>576</v>
      </c>
      <c r="C577" t="n">
        <v>5251</v>
      </c>
      <c r="D577" t="n">
        <v>1532</v>
      </c>
      <c r="E577" t="n">
        <v>87</v>
      </c>
      <c r="F577" t="n">
        <v>0.7018</v>
      </c>
      <c r="G577" s="30" t="n">
        <v>0.000145</v>
      </c>
      <c r="H577" s="14" t="n">
        <v>0.992</v>
      </c>
      <c r="I577" t="n">
        <v>0.291754</v>
      </c>
      <c r="J577" t="n">
        <v>0.0568</v>
      </c>
      <c r="K577" t="n">
        <v>0.008067</v>
      </c>
      <c r="L577" t="n">
        <v>1.3342</v>
      </c>
      <c r="M577" t="n">
        <v>0.1459</v>
      </c>
      <c r="N577" t="n">
        <v>0.1947</v>
      </c>
      <c r="O577" t="inlineStr">
        <is>
          <t>GROW</t>
        </is>
      </c>
    </row>
    <row r="578">
      <c r="A578" t="n">
        <v>7681481</v>
      </c>
      <c r="B578" t="n">
        <v>577</v>
      </c>
      <c r="C578" t="n">
        <v>12175</v>
      </c>
      <c r="D578" t="n">
        <v>2846</v>
      </c>
      <c r="E578" t="n">
        <v>38</v>
      </c>
      <c r="F578" t="n">
        <v>0.7003</v>
      </c>
      <c r="G578" s="30" t="n">
        <v>0.000145</v>
      </c>
      <c r="H578" s="14" t="n">
        <v>0.9922</v>
      </c>
      <c r="I578" t="n">
        <v>0.233758</v>
      </c>
      <c r="J578" t="n">
        <v>0.0134</v>
      </c>
      <c r="K578" t="n">
        <v>0.01843</v>
      </c>
      <c r="L578" t="n">
        <v>1.4477</v>
      </c>
      <c r="M578" t="n">
        <v>0.133</v>
      </c>
      <c r="N578" t="n">
        <v>0.1925</v>
      </c>
      <c r="O578" t="inlineStr">
        <is>
          <t>WATCH</t>
        </is>
      </c>
    </row>
    <row r="579">
      <c r="A579" t="n">
        <v>24982960</v>
      </c>
      <c r="B579" t="n">
        <v>578</v>
      </c>
      <c r="C579" t="n">
        <v>2885</v>
      </c>
      <c r="D579" t="n">
        <v>1247</v>
      </c>
      <c r="E579" t="n">
        <v>47</v>
      </c>
      <c r="F579" t="n">
        <v>0.6999</v>
      </c>
      <c r="G579" s="30" t="n">
        <v>0.000145</v>
      </c>
      <c r="H579" s="14" t="n">
        <v>0.9923</v>
      </c>
      <c r="I579" t="n">
        <v>0.432236</v>
      </c>
      <c r="J579" t="n">
        <v>0.0377</v>
      </c>
      <c r="K579" t="n">
        <v>0.014891</v>
      </c>
      <c r="L579" t="n">
        <v>0.927</v>
      </c>
      <c r="M579" t="n">
        <v>0.1359</v>
      </c>
      <c r="N579" t="n">
        <v>0.1259</v>
      </c>
      <c r="O579" t="inlineStr">
        <is>
          <t>GROW</t>
        </is>
      </c>
    </row>
    <row r="580">
      <c r="A580" t="n">
        <v>31262852</v>
      </c>
      <c r="B580" t="n">
        <v>579</v>
      </c>
      <c r="C580" t="n">
        <v>1619</v>
      </c>
      <c r="D580" t="n">
        <v>739</v>
      </c>
      <c r="E580" t="n">
        <v>51</v>
      </c>
      <c r="F580" t="n">
        <v>0.6891</v>
      </c>
      <c r="G580" s="30" t="n">
        <v>0.000143</v>
      </c>
      <c r="H580" s="14" t="n">
        <v>0.9925</v>
      </c>
      <c r="I580" t="n">
        <v>0.456455</v>
      </c>
      <c r="J580" t="n">
        <v>0.06900000000000001</v>
      </c>
      <c r="K580" t="n">
        <v>0.013511</v>
      </c>
      <c r="L580" t="n">
        <v>0.4218</v>
      </c>
      <c r="M580" t="n">
        <v>0.223</v>
      </c>
      <c r="N580" t="n">
        <v>0.0941</v>
      </c>
      <c r="O580" t="inlineStr">
        <is>
          <t>GROW</t>
        </is>
      </c>
    </row>
    <row r="581">
      <c r="A581" t="n">
        <v>2407403</v>
      </c>
      <c r="B581" t="n">
        <v>580</v>
      </c>
      <c r="C581" t="n">
        <v>9382</v>
      </c>
      <c r="D581" t="n">
        <v>1701</v>
      </c>
      <c r="E581" t="n">
        <v>321</v>
      </c>
      <c r="F581" t="n">
        <v>0.6872</v>
      </c>
      <c r="G581" s="30" t="n">
        <v>0.000142</v>
      </c>
      <c r="H581" s="14" t="n">
        <v>0.9926</v>
      </c>
      <c r="I581" t="n">
        <v>0.181305</v>
      </c>
      <c r="J581" t="n">
        <v>0.1887</v>
      </c>
      <c r="K581" t="n">
        <v>0.002141</v>
      </c>
      <c r="L581" t="n">
        <v>12.2467</v>
      </c>
      <c r="M581" t="n">
        <v>0.0294</v>
      </c>
      <c r="N581" t="n">
        <v>0.3599</v>
      </c>
      <c r="O581" t="inlineStr">
        <is>
          <t>GROW</t>
        </is>
      </c>
    </row>
    <row r="582">
      <c r="A582" t="n">
        <v>23288223</v>
      </c>
      <c r="B582" t="n">
        <v>581</v>
      </c>
      <c r="C582" t="n">
        <v>5684</v>
      </c>
      <c r="D582" t="n">
        <v>2203</v>
      </c>
      <c r="E582" t="n">
        <v>251</v>
      </c>
      <c r="F582" t="n">
        <v>0.6715</v>
      </c>
      <c r="G582" s="30" t="n">
        <v>0.000139</v>
      </c>
      <c r="H582" s="14" t="n">
        <v>0.9927</v>
      </c>
      <c r="I582" t="n">
        <v>0.387579</v>
      </c>
      <c r="J582" t="n">
        <v>0.1139</v>
      </c>
      <c r="K582" t="n">
        <v>0.002675</v>
      </c>
      <c r="L582" t="n">
        <v>2.8392</v>
      </c>
      <c r="M582" t="n">
        <v>0.0866</v>
      </c>
      <c r="N582" t="n">
        <v>0.246</v>
      </c>
      <c r="O582" t="inlineStr">
        <is>
          <t>GROW</t>
        </is>
      </c>
    </row>
    <row r="583">
      <c r="A583" t="n">
        <v>11387831</v>
      </c>
      <c r="B583" t="n">
        <v>582</v>
      </c>
      <c r="C583" t="n">
        <v>4855</v>
      </c>
      <c r="D583" t="n">
        <v>1753</v>
      </c>
      <c r="E583" t="n">
        <v>78</v>
      </c>
      <c r="F583" t="n">
        <v>0.6715</v>
      </c>
      <c r="G583" s="30" t="n">
        <v>0.000139</v>
      </c>
      <c r="H583" s="14" t="n">
        <v>0.9929</v>
      </c>
      <c r="I583" t="n">
        <v>0.361071</v>
      </c>
      <c r="J583" t="n">
        <v>0.0445</v>
      </c>
      <c r="K583" t="n">
        <v>0.008607999999999999</v>
      </c>
      <c r="L583" t="n">
        <v>0.6516999999999999</v>
      </c>
      <c r="M583" t="n">
        <v>0.1578</v>
      </c>
      <c r="N583" t="n">
        <v>0.1028</v>
      </c>
      <c r="O583" t="inlineStr">
        <is>
          <t>GROW</t>
        </is>
      </c>
    </row>
    <row r="584">
      <c r="A584" t="n">
        <v>8634899</v>
      </c>
      <c r="B584" t="n">
        <v>583</v>
      </c>
      <c r="C584" t="n">
        <v>4759</v>
      </c>
      <c r="D584" t="n">
        <v>1761</v>
      </c>
      <c r="E584" t="n">
        <v>75</v>
      </c>
      <c r="F584" t="n">
        <v>0.6461</v>
      </c>
      <c r="G584" s="30" t="n">
        <v>0.000134</v>
      </c>
      <c r="H584" s="14" t="n">
        <v>0.993</v>
      </c>
      <c r="I584" t="n">
        <v>0.370036</v>
      </c>
      <c r="J584" t="n">
        <v>0.0426</v>
      </c>
      <c r="K584" t="n">
        <v>0.008614999999999999</v>
      </c>
      <c r="L584" t="n">
        <v>2.4144</v>
      </c>
      <c r="M584" t="n">
        <v>0.0635</v>
      </c>
      <c r="N584" t="n">
        <v>0.1533</v>
      </c>
      <c r="O584" t="inlineStr">
        <is>
          <t>GROW</t>
        </is>
      </c>
    </row>
    <row r="585">
      <c r="A585" t="n">
        <v>28091103</v>
      </c>
      <c r="B585" t="n">
        <v>584</v>
      </c>
      <c r="C585" t="n">
        <v>2960</v>
      </c>
      <c r="D585" t="n">
        <v>1070</v>
      </c>
      <c r="E585" t="n">
        <v>33</v>
      </c>
      <c r="F585" t="n">
        <v>0.646</v>
      </c>
      <c r="G585" s="30" t="n">
        <v>0.000134</v>
      </c>
      <c r="H585" s="14" t="n">
        <v>0.9931</v>
      </c>
      <c r="I585" t="n">
        <v>0.361486</v>
      </c>
      <c r="J585" t="n">
        <v>0.0308</v>
      </c>
      <c r="K585" t="n">
        <v>0.019576</v>
      </c>
      <c r="L585" t="n">
        <v>1.4866</v>
      </c>
      <c r="M585" t="n">
        <v>0.1359</v>
      </c>
      <c r="N585" t="n">
        <v>0.2021</v>
      </c>
      <c r="O585" t="inlineStr">
        <is>
          <t>WATCH</t>
        </is>
      </c>
    </row>
    <row r="586">
      <c r="A586" t="n">
        <v>1871873</v>
      </c>
      <c r="B586" t="n">
        <v>585</v>
      </c>
      <c r="C586" t="n">
        <v>3001</v>
      </c>
      <c r="D586" t="n">
        <v>656</v>
      </c>
      <c r="E586" t="n">
        <v>43</v>
      </c>
      <c r="F586" t="n">
        <v>0.6404</v>
      </c>
      <c r="G586" s="30" t="n">
        <v>0.000133</v>
      </c>
      <c r="H586" s="14" t="n">
        <v>0.9933</v>
      </c>
      <c r="I586" t="n">
        <v>0.218594</v>
      </c>
      <c r="J586" t="n">
        <v>0.0655</v>
      </c>
      <c r="K586" t="n">
        <v>0.014892</v>
      </c>
      <c r="L586" t="n">
        <v>1.0711</v>
      </c>
      <c r="M586" t="n">
        <v>0.1492</v>
      </c>
      <c r="N586" t="n">
        <v>0.1598</v>
      </c>
      <c r="O586" t="inlineStr">
        <is>
          <t>GROW</t>
        </is>
      </c>
    </row>
    <row r="587">
      <c r="A587" t="n">
        <v>20445163</v>
      </c>
      <c r="B587" t="n">
        <v>586</v>
      </c>
      <c r="C587" t="n">
        <v>3850</v>
      </c>
      <c r="D587" t="n">
        <v>1318</v>
      </c>
      <c r="E587" t="n">
        <v>12</v>
      </c>
      <c r="F587" t="n">
        <v>0.6403</v>
      </c>
      <c r="G587" s="30" t="n">
        <v>0.000133</v>
      </c>
      <c r="H587" s="14" t="n">
        <v>0.9933999999999999</v>
      </c>
      <c r="I587" t="n">
        <v>0.342338</v>
      </c>
      <c r="J587" t="n">
        <v>0.0091</v>
      </c>
      <c r="K587" t="n">
        <v>0.053362</v>
      </c>
      <c r="L587" t="n">
        <v>2.0092</v>
      </c>
      <c r="M587" t="n">
        <v>0.1023</v>
      </c>
      <c r="N587" t="n">
        <v>0.2056</v>
      </c>
      <c r="O587" t="inlineStr">
        <is>
          <t>WATCH</t>
        </is>
      </c>
    </row>
    <row r="588">
      <c r="A588" t="n">
        <v>336258</v>
      </c>
      <c r="B588" t="n">
        <v>587</v>
      </c>
      <c r="C588" t="n">
        <v>1227</v>
      </c>
      <c r="D588" t="n">
        <v>570</v>
      </c>
      <c r="E588" t="n">
        <v>36</v>
      </c>
      <c r="F588" t="n">
        <v>0.6403</v>
      </c>
      <c r="G588" s="30" t="n">
        <v>0.000133</v>
      </c>
      <c r="H588" s="14" t="n">
        <v>0.9935</v>
      </c>
      <c r="I588" t="n">
        <v>0.464548</v>
      </c>
      <c r="J588" t="n">
        <v>0.06320000000000001</v>
      </c>
      <c r="K588" t="n">
        <v>0.017787</v>
      </c>
      <c r="L588" t="n">
        <v>0.524</v>
      </c>
      <c r="M588" t="n">
        <v>0.1867</v>
      </c>
      <c r="N588" t="n">
        <v>0.0978</v>
      </c>
      <c r="O588" t="inlineStr">
        <is>
          <t>GROW</t>
        </is>
      </c>
    </row>
    <row r="589">
      <c r="A589" t="n">
        <v>32452108</v>
      </c>
      <c r="B589" t="n">
        <v>588</v>
      </c>
      <c r="C589" t="n">
        <v>10145</v>
      </c>
      <c r="D589" t="n">
        <v>3079</v>
      </c>
      <c r="E589" t="n">
        <v>60</v>
      </c>
      <c r="F589" t="n">
        <v>0.6371</v>
      </c>
      <c r="G589" s="30" t="n">
        <v>0.000132</v>
      </c>
      <c r="H589" s="14" t="n">
        <v>0.9937</v>
      </c>
      <c r="I589" t="n">
        <v>0.303499</v>
      </c>
      <c r="J589" t="n">
        <v>0.0195</v>
      </c>
      <c r="K589" t="n">
        <v>0.010619</v>
      </c>
      <c r="L589" t="n">
        <v>1.596</v>
      </c>
      <c r="M589" t="n">
        <v>0.1216</v>
      </c>
      <c r="N589" t="n">
        <v>0.1941</v>
      </c>
      <c r="O589" t="inlineStr">
        <is>
          <t>GROW</t>
        </is>
      </c>
    </row>
    <row r="590">
      <c r="A590" t="n">
        <v>24045147</v>
      </c>
      <c r="B590" t="n">
        <v>589</v>
      </c>
      <c r="C590" t="n">
        <v>1237</v>
      </c>
      <c r="D590" t="n">
        <v>496</v>
      </c>
      <c r="E590" t="n">
        <v>75</v>
      </c>
      <c r="F590" t="n">
        <v>0.6337</v>
      </c>
      <c r="G590" s="30" t="n">
        <v>0.000131</v>
      </c>
      <c r="H590" s="14" t="n">
        <v>0.9938</v>
      </c>
      <c r="I590" t="n">
        <v>0.40097</v>
      </c>
      <c r="J590" t="n">
        <v>0.1512</v>
      </c>
      <c r="K590" t="n">
        <v>0.008449999999999999</v>
      </c>
      <c r="L590" t="n">
        <v>2.6983</v>
      </c>
      <c r="M590" t="n">
        <v>0.0638</v>
      </c>
      <c r="N590" t="n">
        <v>0.1721</v>
      </c>
      <c r="O590" t="inlineStr">
        <is>
          <t>GROW</t>
        </is>
      </c>
    </row>
    <row r="591">
      <c r="A591" t="n">
        <v>4406178</v>
      </c>
      <c r="B591" t="n">
        <v>590</v>
      </c>
      <c r="C591" t="n">
        <v>1789</v>
      </c>
      <c r="D591" t="n">
        <v>471</v>
      </c>
      <c r="E591" t="n">
        <v>82</v>
      </c>
      <c r="F591" t="n">
        <v>0.6276</v>
      </c>
      <c r="G591" s="30" t="n">
        <v>0.00013</v>
      </c>
      <c r="H591" s="14" t="n">
        <v>0.9939</v>
      </c>
      <c r="I591" t="n">
        <v>0.263276</v>
      </c>
      <c r="J591" t="n">
        <v>0.1741</v>
      </c>
      <c r="K591" t="n">
        <v>0.007653</v>
      </c>
      <c r="L591" t="n">
        <v>0.678</v>
      </c>
      <c r="M591" t="n">
        <v>0.1758</v>
      </c>
      <c r="N591" t="n">
        <v>0.1192</v>
      </c>
      <c r="O591" t="inlineStr">
        <is>
          <t>GROW</t>
        </is>
      </c>
    </row>
    <row r="592">
      <c r="A592" t="n">
        <v>17314986</v>
      </c>
      <c r="B592" t="n">
        <v>591</v>
      </c>
      <c r="C592" t="n">
        <v>3167</v>
      </c>
      <c r="D592" t="n">
        <v>994</v>
      </c>
      <c r="E592" t="n">
        <v>28</v>
      </c>
      <c r="F592" t="n">
        <v>0.6224</v>
      </c>
      <c r="G592" s="30" t="n">
        <v>0.000129</v>
      </c>
      <c r="H592" s="14" t="n">
        <v>0.9941</v>
      </c>
      <c r="I592" t="n">
        <v>0.313862</v>
      </c>
      <c r="J592" t="n">
        <v>0.0282</v>
      </c>
      <c r="K592" t="n">
        <v>0.022229</v>
      </c>
      <c r="L592" t="n">
        <v>0.6761</v>
      </c>
      <c r="M592" t="n">
        <v>0.2005</v>
      </c>
      <c r="N592" t="n">
        <v>0.1356</v>
      </c>
      <c r="O592" t="inlineStr">
        <is>
          <t>WATCH</t>
        </is>
      </c>
    </row>
    <row r="593">
      <c r="A593" t="n">
        <v>11765780</v>
      </c>
      <c r="B593" t="n">
        <v>592</v>
      </c>
      <c r="C593" t="n">
        <v>1409</v>
      </c>
      <c r="D593" t="n">
        <v>867</v>
      </c>
      <c r="E593" t="n">
        <v>141</v>
      </c>
      <c r="F593" t="n">
        <v>0.6104000000000001</v>
      </c>
      <c r="G593" s="30" t="n">
        <v>0.000126</v>
      </c>
      <c r="H593" s="14" t="n">
        <v>0.9942</v>
      </c>
      <c r="I593" t="n">
        <v>0.61533</v>
      </c>
      <c r="J593" t="n">
        <v>0.1626</v>
      </c>
      <c r="K593" t="n">
        <v>0.004329</v>
      </c>
      <c r="L593" t="n">
        <v>0.2715</v>
      </c>
      <c r="M593" t="n">
        <v>0.2463</v>
      </c>
      <c r="N593" t="n">
        <v>0.0669</v>
      </c>
      <c r="O593" t="inlineStr">
        <is>
          <t>GROW</t>
        </is>
      </c>
    </row>
    <row r="594">
      <c r="A594" t="n">
        <v>9097334</v>
      </c>
      <c r="B594" t="n">
        <v>593</v>
      </c>
      <c r="C594" t="n">
        <v>5256</v>
      </c>
      <c r="D594" t="n">
        <v>1195</v>
      </c>
      <c r="E594" t="n">
        <v>20</v>
      </c>
      <c r="F594" t="n">
        <v>0.5992</v>
      </c>
      <c r="G594" s="30" t="n">
        <v>0.000124</v>
      </c>
      <c r="H594" s="14" t="n">
        <v>0.9943</v>
      </c>
      <c r="I594" t="n">
        <v>0.227359</v>
      </c>
      <c r="J594" t="n">
        <v>0.0167</v>
      </c>
      <c r="K594" t="n">
        <v>0.029962</v>
      </c>
      <c r="L594" t="n">
        <v>1.1792</v>
      </c>
      <c r="M594" t="n">
        <v>0.1335</v>
      </c>
      <c r="N594" t="n">
        <v>0.1575</v>
      </c>
      <c r="O594" t="inlineStr">
        <is>
          <t>WATCH</t>
        </is>
      </c>
    </row>
    <row r="595">
      <c r="A595" t="n">
        <v>28752988</v>
      </c>
      <c r="B595" t="n">
        <v>594</v>
      </c>
      <c r="C595" t="n">
        <v>4102</v>
      </c>
      <c r="D595" t="n">
        <v>636</v>
      </c>
      <c r="E595" t="n">
        <v>31</v>
      </c>
      <c r="F595" t="n">
        <v>0.5965</v>
      </c>
      <c r="G595" s="30" t="n">
        <v>0.000124</v>
      </c>
      <c r="H595" s="14" t="n">
        <v>0.9944</v>
      </c>
      <c r="I595" t="n">
        <v>0.155046</v>
      </c>
      <c r="J595" t="n">
        <v>0.0487</v>
      </c>
      <c r="K595" t="n">
        <v>0.019242</v>
      </c>
      <c r="L595" t="n">
        <v>0.5155</v>
      </c>
      <c r="M595" t="n">
        <v>0.1778</v>
      </c>
      <c r="N595" t="n">
        <v>0.0917</v>
      </c>
      <c r="O595" t="inlineStr">
        <is>
          <t>WATCH</t>
        </is>
      </c>
    </row>
    <row r="596">
      <c r="A596" t="n">
        <v>22496144</v>
      </c>
      <c r="B596" t="n">
        <v>595</v>
      </c>
      <c r="C596" t="n">
        <v>2109</v>
      </c>
      <c r="D596" t="n">
        <v>750</v>
      </c>
      <c r="E596" t="n">
        <v>84</v>
      </c>
      <c r="F596" t="n">
        <v>0.5856</v>
      </c>
      <c r="G596" s="30" t="n">
        <v>0.000121</v>
      </c>
      <c r="H596" s="14" t="n">
        <v>0.9946</v>
      </c>
      <c r="I596" t="n">
        <v>0.355619</v>
      </c>
      <c r="J596" t="n">
        <v>0.112</v>
      </c>
      <c r="K596" t="n">
        <v>0.006972</v>
      </c>
      <c r="L596" t="n">
        <v>1.0588</v>
      </c>
      <c r="M596" t="n">
        <v>0.1329</v>
      </c>
      <c r="N596" t="n">
        <v>0.1407</v>
      </c>
      <c r="O596" t="inlineStr">
        <is>
          <t>GROW</t>
        </is>
      </c>
    </row>
    <row r="597">
      <c r="A597" t="n">
        <v>7697146</v>
      </c>
      <c r="B597" t="n">
        <v>596</v>
      </c>
      <c r="C597" t="n">
        <v>2897</v>
      </c>
      <c r="D597" t="n">
        <v>1049</v>
      </c>
      <c r="E597" t="n">
        <v>25</v>
      </c>
      <c r="F597" t="n">
        <v>0.5833</v>
      </c>
      <c r="G597" s="30" t="n">
        <v>0.000121</v>
      </c>
      <c r="H597" s="14" t="n">
        <v>0.9947</v>
      </c>
      <c r="I597" t="n">
        <v>0.362099</v>
      </c>
      <c r="J597" t="n">
        <v>0.0238</v>
      </c>
      <c r="K597" t="n">
        <v>0.023331</v>
      </c>
      <c r="L597" t="n">
        <v>0.344</v>
      </c>
      <c r="M597" t="n">
        <v>0.2781</v>
      </c>
      <c r="N597" t="n">
        <v>0.09569999999999999</v>
      </c>
      <c r="O597" t="inlineStr">
        <is>
          <t>WATCH</t>
        </is>
      </c>
    </row>
    <row r="598">
      <c r="A598" t="n">
        <v>29687342</v>
      </c>
      <c r="B598" t="n">
        <v>597</v>
      </c>
      <c r="C598" t="n">
        <v>3215</v>
      </c>
      <c r="D598" t="n">
        <v>1409</v>
      </c>
      <c r="E598" t="n">
        <v>187</v>
      </c>
      <c r="F598" t="n">
        <v>0.5753</v>
      </c>
      <c r="G598" s="30" t="n">
        <v>0.000119</v>
      </c>
      <c r="H598" s="14" t="n">
        <v>0.9948</v>
      </c>
      <c r="I598" t="n">
        <v>0.438258</v>
      </c>
      <c r="J598" t="n">
        <v>0.1327</v>
      </c>
      <c r="K598" t="n">
        <v>0.003076</v>
      </c>
      <c r="L598" t="n">
        <v>0.5331</v>
      </c>
      <c r="M598" t="n">
        <v>0.2044</v>
      </c>
      <c r="N598" t="n">
        <v>0.109</v>
      </c>
      <c r="O598" t="inlineStr">
        <is>
          <t>GROW</t>
        </is>
      </c>
    </row>
    <row r="599">
      <c r="A599" t="n">
        <v>4407386</v>
      </c>
      <c r="B599" t="n">
        <v>598</v>
      </c>
      <c r="C599" t="n">
        <v>13437</v>
      </c>
      <c r="D599" t="n">
        <v>3775</v>
      </c>
      <c r="E599" t="n">
        <v>31</v>
      </c>
      <c r="F599" t="n">
        <v>0.5683</v>
      </c>
      <c r="G599" s="30" t="n">
        <v>0.000118</v>
      </c>
      <c r="H599" s="14" t="n">
        <v>0.9949</v>
      </c>
      <c r="I599" t="n">
        <v>0.280941</v>
      </c>
      <c r="J599" t="n">
        <v>0.008200000000000001</v>
      </c>
      <c r="K599" t="n">
        <v>0.018331</v>
      </c>
      <c r="L599" t="n">
        <v>0.9381</v>
      </c>
      <c r="M599" t="n">
        <v>0.1315</v>
      </c>
      <c r="N599" t="n">
        <v>0.1234</v>
      </c>
      <c r="O599" t="inlineStr">
        <is>
          <t>WATCH</t>
        </is>
      </c>
    </row>
    <row r="600">
      <c r="A600" t="n">
        <v>32321347</v>
      </c>
      <c r="B600" t="n">
        <v>599</v>
      </c>
      <c r="C600" t="n">
        <v>3574</v>
      </c>
      <c r="D600" t="n">
        <v>1105</v>
      </c>
      <c r="E600" t="n">
        <v>40</v>
      </c>
      <c r="F600" t="n">
        <v>0.5647</v>
      </c>
      <c r="G600" s="30" t="n">
        <v>0.000117</v>
      </c>
      <c r="H600" s="14" t="n">
        <v>0.995</v>
      </c>
      <c r="I600" t="n">
        <v>0.309177</v>
      </c>
      <c r="J600" t="n">
        <v>0.0362</v>
      </c>
      <c r="K600" t="n">
        <v>0.014117</v>
      </c>
      <c r="L600" t="n">
        <v>4.915</v>
      </c>
      <c r="M600" t="n">
        <v>0.0527</v>
      </c>
      <c r="N600" t="n">
        <v>0.2588</v>
      </c>
      <c r="O600" t="inlineStr">
        <is>
          <t>GROW</t>
        </is>
      </c>
    </row>
    <row r="601">
      <c r="A601" t="n">
        <v>24045153</v>
      </c>
      <c r="B601" t="n">
        <v>600</v>
      </c>
      <c r="C601" t="n">
        <v>2317</v>
      </c>
      <c r="D601" t="n">
        <v>757</v>
      </c>
      <c r="E601" t="n">
        <v>95</v>
      </c>
      <c r="F601" t="n">
        <v>0.5645</v>
      </c>
      <c r="G601" s="30" t="n">
        <v>0.000117</v>
      </c>
      <c r="H601" s="14" t="n">
        <v>0.9951</v>
      </c>
      <c r="I601" t="n">
        <v>0.326716</v>
      </c>
      <c r="J601" t="n">
        <v>0.1255</v>
      </c>
      <c r="K601" t="n">
        <v>0.005942</v>
      </c>
      <c r="L601" t="n">
        <v>1.5519</v>
      </c>
      <c r="M601" t="n">
        <v>0.0921</v>
      </c>
      <c r="N601" t="n">
        <v>0.143</v>
      </c>
      <c r="O601" t="inlineStr">
        <is>
          <t>GROW</t>
        </is>
      </c>
    </row>
    <row r="602">
      <c r="A602" t="n">
        <v>15506599</v>
      </c>
      <c r="B602" t="n">
        <v>601</v>
      </c>
      <c r="C602" t="n">
        <v>6408</v>
      </c>
      <c r="D602" t="n">
        <v>2418</v>
      </c>
      <c r="E602" t="n">
        <v>981</v>
      </c>
      <c r="F602" t="n">
        <v>0.5620000000000001</v>
      </c>
      <c r="G602" s="30" t="n">
        <v>0.000116</v>
      </c>
      <c r="H602" s="14" t="n">
        <v>0.9953</v>
      </c>
      <c r="I602" t="n">
        <v>0.377341</v>
      </c>
      <c r="J602" t="n">
        <v>0.4057</v>
      </c>
      <c r="K602" t="n">
        <v>0.0005730000000000001</v>
      </c>
      <c r="L602" t="n">
        <v>0.9668</v>
      </c>
      <c r="M602" t="n">
        <v>0.1504</v>
      </c>
      <c r="N602" t="n">
        <v>0.1455</v>
      </c>
      <c r="O602" t="inlineStr">
        <is>
          <t>GROW</t>
        </is>
      </c>
    </row>
    <row r="603">
      <c r="A603" t="n">
        <v>13810178</v>
      </c>
      <c r="B603" t="n">
        <v>602</v>
      </c>
      <c r="C603" t="n">
        <v>943</v>
      </c>
      <c r="D603" t="n">
        <v>376</v>
      </c>
      <c r="E603" t="n">
        <v>21</v>
      </c>
      <c r="F603" t="n">
        <v>0.5619</v>
      </c>
      <c r="G603" s="30" t="n">
        <v>0.000116</v>
      </c>
      <c r="H603" s="14" t="n">
        <v>0.9954</v>
      </c>
      <c r="I603" t="n">
        <v>0.398727</v>
      </c>
      <c r="J603" t="n">
        <v>0.0559</v>
      </c>
      <c r="K603" t="n">
        <v>0.026756</v>
      </c>
      <c r="L603" t="n">
        <v>2.9404</v>
      </c>
      <c r="M603" t="n">
        <v>0.07630000000000001</v>
      </c>
      <c r="N603" t="n">
        <v>0.2244</v>
      </c>
      <c r="O603" t="inlineStr">
        <is>
          <t>WATCH</t>
        </is>
      </c>
    </row>
    <row r="604">
      <c r="A604" t="n">
        <v>29531983</v>
      </c>
      <c r="B604" t="n">
        <v>603</v>
      </c>
      <c r="C604" t="n">
        <v>13563</v>
      </c>
      <c r="D604" t="n">
        <v>4153</v>
      </c>
      <c r="E604" t="n">
        <v>1241</v>
      </c>
      <c r="F604" t="n">
        <v>0.5602</v>
      </c>
      <c r="G604" s="30" t="n">
        <v>0.000116</v>
      </c>
      <c r="H604" s="14" t="n">
        <v>0.9955000000000001</v>
      </c>
      <c r="I604" t="n">
        <v>0.306201</v>
      </c>
      <c r="J604" t="n">
        <v>0.2988</v>
      </c>
      <c r="K604" t="n">
        <v>0.000451</v>
      </c>
      <c r="L604" t="n">
        <v>0.8878</v>
      </c>
      <c r="M604" t="n">
        <v>0.1326</v>
      </c>
      <c r="N604" t="n">
        <v>0.1178</v>
      </c>
      <c r="O604" t="inlineStr">
        <is>
          <t>GROW</t>
        </is>
      </c>
    </row>
    <row r="605">
      <c r="A605" t="n">
        <v>26945970</v>
      </c>
      <c r="B605" t="n">
        <v>604</v>
      </c>
      <c r="C605" t="n">
        <v>4480</v>
      </c>
      <c r="D605" t="n">
        <v>1847</v>
      </c>
      <c r="E605" t="n">
        <v>30</v>
      </c>
      <c r="F605" t="n">
        <v>0.5552</v>
      </c>
      <c r="G605" s="30" t="n">
        <v>0.000115</v>
      </c>
      <c r="H605" s="14" t="n">
        <v>0.9956</v>
      </c>
      <c r="I605" t="n">
        <v>0.412277</v>
      </c>
      <c r="J605" t="n">
        <v>0.0162</v>
      </c>
      <c r="K605" t="n">
        <v>0.018507</v>
      </c>
      <c r="L605" t="n">
        <v>1.3851</v>
      </c>
      <c r="M605" t="n">
        <v>0.1098</v>
      </c>
      <c r="N605" t="n">
        <v>0.152</v>
      </c>
      <c r="O605" t="inlineStr">
        <is>
          <t>WATCH</t>
        </is>
      </c>
    </row>
    <row r="606">
      <c r="A606" t="n">
        <v>28257820</v>
      </c>
      <c r="B606" t="n">
        <v>605</v>
      </c>
      <c r="C606" t="n">
        <v>1955</v>
      </c>
      <c r="D606" t="n">
        <v>500</v>
      </c>
      <c r="E606" t="n">
        <v>8</v>
      </c>
      <c r="F606" t="n">
        <v>0.5533</v>
      </c>
      <c r="G606" s="30" t="n">
        <v>0.000115</v>
      </c>
      <c r="H606" s="14" t="n">
        <v>0.9957</v>
      </c>
      <c r="I606" t="n">
        <v>0.255754</v>
      </c>
      <c r="J606" t="n">
        <v>0.016</v>
      </c>
      <c r="K606" t="n">
        <v>0.069162</v>
      </c>
      <c r="L606" t="n">
        <v>2.5138</v>
      </c>
      <c r="M606" t="n">
        <v>0.078</v>
      </c>
      <c r="N606" t="n">
        <v>0.196</v>
      </c>
      <c r="O606" t="inlineStr">
        <is>
          <t>WATCH</t>
        </is>
      </c>
    </row>
    <row r="607">
      <c r="A607" t="n">
        <v>32137193</v>
      </c>
      <c r="B607" t="n">
        <v>606</v>
      </c>
      <c r="C607" t="n">
        <v>3412</v>
      </c>
      <c r="D607" t="n">
        <v>951</v>
      </c>
      <c r="E607" t="n">
        <v>33</v>
      </c>
      <c r="F607" t="n">
        <v>0.5373</v>
      </c>
      <c r="G607" s="30" t="n">
        <v>0.000111</v>
      </c>
      <c r="H607" s="14" t="n">
        <v>0.9958</v>
      </c>
      <c r="I607" t="n">
        <v>0.278722</v>
      </c>
      <c r="J607" t="n">
        <v>0.0347</v>
      </c>
      <c r="K607" t="n">
        <v>0.016283</v>
      </c>
      <c r="L607" t="n">
        <v>1.1185</v>
      </c>
      <c r="M607" t="n">
        <v>0.1027</v>
      </c>
      <c r="N607" t="n">
        <v>0.1149</v>
      </c>
      <c r="O607" t="inlineStr">
        <is>
          <t>GROW</t>
        </is>
      </c>
    </row>
    <row r="608">
      <c r="A608" t="n">
        <v>28385762</v>
      </c>
      <c r="B608" t="n">
        <v>607</v>
      </c>
      <c r="C608" t="n">
        <v>4873</v>
      </c>
      <c r="D608" t="n">
        <v>1398</v>
      </c>
      <c r="E608" t="n">
        <v>16</v>
      </c>
      <c r="F608" t="n">
        <v>0.5371</v>
      </c>
      <c r="G608" s="30" t="n">
        <v>0.000111</v>
      </c>
      <c r="H608" s="14" t="n">
        <v>0.9959</v>
      </c>
      <c r="I608" t="n">
        <v>0.286887</v>
      </c>
      <c r="J608" t="n">
        <v>0.0114</v>
      </c>
      <c r="K608" t="n">
        <v>0.033569</v>
      </c>
      <c r="L608" t="n">
        <v>0.3257</v>
      </c>
      <c r="M608" t="n">
        <v>0.2891</v>
      </c>
      <c r="N608" t="n">
        <v>0.0941</v>
      </c>
      <c r="O608" t="inlineStr">
        <is>
          <t>WATCH</t>
        </is>
      </c>
    </row>
    <row r="609">
      <c r="A609" t="n">
        <v>12843319</v>
      </c>
      <c r="B609" t="n">
        <v>608</v>
      </c>
      <c r="C609" t="n">
        <v>1874</v>
      </c>
      <c r="D609" t="n">
        <v>901</v>
      </c>
      <c r="E609" t="n">
        <v>42</v>
      </c>
      <c r="F609" t="n">
        <v>0.5327</v>
      </c>
      <c r="G609" s="30" t="n">
        <v>0.00011</v>
      </c>
      <c r="H609" s="14" t="n">
        <v>0.9961</v>
      </c>
      <c r="I609" t="n">
        <v>0.48079</v>
      </c>
      <c r="J609" t="n">
        <v>0.0466</v>
      </c>
      <c r="K609" t="n">
        <v>0.012684</v>
      </c>
      <c r="L609" t="n">
        <v>1.5415</v>
      </c>
      <c r="M609" t="n">
        <v>0.0944</v>
      </c>
      <c r="N609" t="n">
        <v>0.1455</v>
      </c>
      <c r="O609" t="inlineStr">
        <is>
          <t>GROW</t>
        </is>
      </c>
    </row>
    <row r="610">
      <c r="A610" t="n">
        <v>24936122</v>
      </c>
      <c r="B610" t="n">
        <v>609</v>
      </c>
      <c r="C610" t="n">
        <v>2089</v>
      </c>
      <c r="D610" t="n">
        <v>352</v>
      </c>
      <c r="E610" t="n">
        <v>27</v>
      </c>
      <c r="F610" t="n">
        <v>0.5266999999999999</v>
      </c>
      <c r="G610" s="30" t="n">
        <v>0.000109</v>
      </c>
      <c r="H610" s="14" t="n">
        <v>0.9962</v>
      </c>
      <c r="I610" t="n">
        <v>0.168502</v>
      </c>
      <c r="J610" t="n">
        <v>0.0767</v>
      </c>
      <c r="K610" t="n">
        <v>0.019509</v>
      </c>
      <c r="L610" t="n">
        <v>1.4822</v>
      </c>
      <c r="M610" t="n">
        <v>0.1148</v>
      </c>
      <c r="N610" t="n">
        <v>0.1702</v>
      </c>
      <c r="O610" t="inlineStr">
        <is>
          <t>WATCH</t>
        </is>
      </c>
    </row>
    <row r="611">
      <c r="A611" t="n">
        <v>10810197</v>
      </c>
      <c r="B611" t="n">
        <v>610</v>
      </c>
      <c r="C611" t="n">
        <v>3064</v>
      </c>
      <c r="D611" t="n">
        <v>2028</v>
      </c>
      <c r="E611" t="n">
        <v>56</v>
      </c>
      <c r="F611" t="n">
        <v>0.5101</v>
      </c>
      <c r="G611" s="30" t="n">
        <v>0.000106</v>
      </c>
      <c r="H611" s="14" t="n">
        <v>0.9963</v>
      </c>
      <c r="I611" t="n">
        <v>0.66188</v>
      </c>
      <c r="J611" t="n">
        <v>0.0276</v>
      </c>
      <c r="K611" t="n">
        <v>0.009108</v>
      </c>
      <c r="L611" t="n">
        <v>2.4849</v>
      </c>
      <c r="M611" t="n">
        <v>0.0672</v>
      </c>
      <c r="N611" t="n">
        <v>0.167</v>
      </c>
      <c r="O611" t="inlineStr">
        <is>
          <t>GROW</t>
        </is>
      </c>
    </row>
    <row r="612">
      <c r="A612" t="n">
        <v>3960115</v>
      </c>
      <c r="B612" t="n">
        <v>611</v>
      </c>
      <c r="C612" t="n">
        <v>1405</v>
      </c>
      <c r="D612" t="n">
        <v>221</v>
      </c>
      <c r="E612" t="n">
        <v>23</v>
      </c>
      <c r="F612" t="n">
        <v>0.5075</v>
      </c>
      <c r="G612" s="30" t="n">
        <v>0.000105</v>
      </c>
      <c r="H612" s="14" t="n">
        <v>0.9964</v>
      </c>
      <c r="I612" t="n">
        <v>0.157295</v>
      </c>
      <c r="J612" t="n">
        <v>0.1041</v>
      </c>
      <c r="K612" t="n">
        <v>0.022066</v>
      </c>
      <c r="L612" t="n">
        <v>1.7139</v>
      </c>
      <c r="M612" t="n">
        <v>0.073</v>
      </c>
      <c r="N612" t="n">
        <v>0.1251</v>
      </c>
      <c r="O612" t="inlineStr">
        <is>
          <t>WATCH</t>
        </is>
      </c>
    </row>
    <row r="613">
      <c r="A613" t="n">
        <v>6886825</v>
      </c>
      <c r="B613" t="n">
        <v>612</v>
      </c>
      <c r="C613" t="n">
        <v>3248</v>
      </c>
      <c r="D613" t="n">
        <v>1117</v>
      </c>
      <c r="E613" t="n">
        <v>20</v>
      </c>
      <c r="F613" t="n">
        <v>0.5018</v>
      </c>
      <c r="G613" s="30" t="n">
        <v>0.000104</v>
      </c>
      <c r="H613" s="14" t="n">
        <v>0.9965000000000001</v>
      </c>
      <c r="I613" t="n">
        <v>0.343904</v>
      </c>
      <c r="J613" t="n">
        <v>0.0179</v>
      </c>
      <c r="K613" t="n">
        <v>0.02509</v>
      </c>
      <c r="L613" t="n">
        <v>4.5417</v>
      </c>
      <c r="M613" t="n">
        <v>0.0339</v>
      </c>
      <c r="N613" t="n">
        <v>0.1541</v>
      </c>
      <c r="O613" t="inlineStr">
        <is>
          <t>WATCH</t>
        </is>
      </c>
    </row>
    <row r="614">
      <c r="A614" t="n">
        <v>15506600</v>
      </c>
      <c r="B614" t="n">
        <v>613</v>
      </c>
      <c r="C614" t="n">
        <v>2665</v>
      </c>
      <c r="D614" t="n">
        <v>769</v>
      </c>
      <c r="E614" t="n">
        <v>261</v>
      </c>
      <c r="F614" t="n">
        <v>0.4928</v>
      </c>
      <c r="G614" s="30" t="n">
        <v>0.000102</v>
      </c>
      <c r="H614" s="14" t="n">
        <v>0.9966</v>
      </c>
      <c r="I614" t="n">
        <v>0.288555</v>
      </c>
      <c r="J614" t="n">
        <v>0.3394</v>
      </c>
      <c r="K614" t="n">
        <v>0.001888</v>
      </c>
      <c r="L614" t="n">
        <v>0.8681</v>
      </c>
      <c r="M614" t="n">
        <v>0.1121</v>
      </c>
      <c r="N614" t="n">
        <v>0.0973</v>
      </c>
      <c r="O614" t="inlineStr">
        <is>
          <t>GROW</t>
        </is>
      </c>
    </row>
    <row r="615">
      <c r="A615" t="n">
        <v>20843295</v>
      </c>
      <c r="B615" t="n">
        <v>614</v>
      </c>
      <c r="C615" t="n">
        <v>1305</v>
      </c>
      <c r="D615" t="n">
        <v>416</v>
      </c>
      <c r="E615" t="n">
        <v>2</v>
      </c>
      <c r="F615" t="n">
        <v>0.4902</v>
      </c>
      <c r="G615" s="30" t="n">
        <v>0.000101</v>
      </c>
      <c r="H615" s="14" t="n">
        <v>0.9967</v>
      </c>
      <c r="I615" t="n">
        <v>0.318774</v>
      </c>
      <c r="J615" t="n">
        <v>0.0048</v>
      </c>
      <c r="K615" t="n">
        <v>0.245077</v>
      </c>
      <c r="L615" t="n">
        <v>0.999</v>
      </c>
      <c r="M615" t="n">
        <v>0.111</v>
      </c>
      <c r="N615" t="n">
        <v>0.1109</v>
      </c>
      <c r="O615" t="inlineStr">
        <is>
          <t>WATCH</t>
        </is>
      </c>
    </row>
    <row r="616">
      <c r="A616" t="n">
        <v>31748229</v>
      </c>
      <c r="B616" t="n">
        <v>615</v>
      </c>
      <c r="C616" t="n">
        <v>2655</v>
      </c>
      <c r="D616" t="n">
        <v>1482</v>
      </c>
      <c r="E616" t="n">
        <v>4</v>
      </c>
      <c r="F616" t="n">
        <v>0.4822</v>
      </c>
      <c r="G616" s="30" t="n">
        <v>0.0001</v>
      </c>
      <c r="H616" s="14" t="n">
        <v>0.9968</v>
      </c>
      <c r="I616" t="n">
        <v>0.558192</v>
      </c>
      <c r="J616" t="n">
        <v>0.0027</v>
      </c>
      <c r="K616" t="n">
        <v>0.120539</v>
      </c>
      <c r="L616" t="n">
        <v>0.8466</v>
      </c>
      <c r="M616" t="n">
        <v>0.1411</v>
      </c>
      <c r="N616" t="n">
        <v>0.1194</v>
      </c>
      <c r="O616" t="inlineStr">
        <is>
          <t>WATCH</t>
        </is>
      </c>
    </row>
    <row r="617">
      <c r="A617" t="n">
        <v>13661607</v>
      </c>
      <c r="B617" t="n">
        <v>616</v>
      </c>
      <c r="C617" t="n">
        <v>2307</v>
      </c>
      <c r="D617" t="n">
        <v>705</v>
      </c>
      <c r="E617" t="n">
        <v>28</v>
      </c>
      <c r="F617" t="n">
        <v>0.4798</v>
      </c>
      <c r="G617" s="30" t="n">
        <v>9.899999999999999e-05</v>
      </c>
      <c r="H617" s="14" t="n">
        <v>0.9969</v>
      </c>
      <c r="I617" t="n">
        <v>0.305592</v>
      </c>
      <c r="J617" t="n">
        <v>0.0397</v>
      </c>
      <c r="K617" t="n">
        <v>0.017137</v>
      </c>
      <c r="L617" t="n">
        <v>2.3643</v>
      </c>
      <c r="M617" t="n">
        <v>0.0798</v>
      </c>
      <c r="N617" t="n">
        <v>0.1887</v>
      </c>
      <c r="O617" t="inlineStr">
        <is>
          <t>GROW</t>
        </is>
      </c>
    </row>
    <row r="618">
      <c r="A618" t="n">
        <v>3858764</v>
      </c>
      <c r="B618" t="n">
        <v>617</v>
      </c>
      <c r="C618" t="n">
        <v>2548</v>
      </c>
      <c r="D618" t="n">
        <v>833</v>
      </c>
      <c r="E618" t="n">
        <v>48</v>
      </c>
      <c r="F618" t="n">
        <v>0.4732</v>
      </c>
      <c r="G618" s="30" t="n">
        <v>9.8e-05</v>
      </c>
      <c r="H618" s="14" t="n">
        <v>0.997</v>
      </c>
      <c r="I618" t="n">
        <v>0.326923</v>
      </c>
      <c r="J618" t="n">
        <v>0.0576</v>
      </c>
      <c r="K618" t="n">
        <v>0.009859</v>
      </c>
      <c r="L618" t="n">
        <v>0.603</v>
      </c>
      <c r="M618" t="n">
        <v>0.1418</v>
      </c>
      <c r="N618" t="n">
        <v>0.08550000000000001</v>
      </c>
      <c r="O618" t="inlineStr">
        <is>
          <t>GROW</t>
        </is>
      </c>
    </row>
    <row r="619">
      <c r="A619" t="n">
        <v>3892354</v>
      </c>
      <c r="B619" t="n">
        <v>618</v>
      </c>
      <c r="C619" t="n">
        <v>3860</v>
      </c>
      <c r="D619" t="n">
        <v>829</v>
      </c>
      <c r="E619" t="n">
        <v>22</v>
      </c>
      <c r="F619" t="n">
        <v>0.4703</v>
      </c>
      <c r="G619" s="30" t="n">
        <v>9.7e-05</v>
      </c>
      <c r="H619" s="14" t="n">
        <v>0.9971</v>
      </c>
      <c r="I619" t="n">
        <v>0.214767</v>
      </c>
      <c r="J619" t="n">
        <v>0.0265</v>
      </c>
      <c r="K619" t="n">
        <v>0.021375</v>
      </c>
      <c r="L619" t="n">
        <v>0.6274</v>
      </c>
      <c r="M619" t="n">
        <v>0.1741</v>
      </c>
      <c r="N619" t="n">
        <v>0.1092</v>
      </c>
      <c r="O619" t="inlineStr">
        <is>
          <t>WATCH</t>
        </is>
      </c>
    </row>
    <row r="620">
      <c r="A620" t="n">
        <v>6316933</v>
      </c>
      <c r="B620" t="n">
        <v>619</v>
      </c>
      <c r="C620" t="n">
        <v>2340</v>
      </c>
      <c r="D620" t="n">
        <v>601</v>
      </c>
      <c r="E620" t="n">
        <v>18</v>
      </c>
      <c r="F620" t="n">
        <v>0.4596</v>
      </c>
      <c r="G620" s="30" t="n">
        <v>9.500000000000001e-05</v>
      </c>
      <c r="H620" s="14" t="n">
        <v>0.9972</v>
      </c>
      <c r="I620" t="n">
        <v>0.256838</v>
      </c>
      <c r="J620" t="n">
        <v>0.03</v>
      </c>
      <c r="K620" t="n">
        <v>0.025531</v>
      </c>
      <c r="L620" t="n">
        <v>0.8532999999999999</v>
      </c>
      <c r="M620" t="n">
        <v>0.1218</v>
      </c>
      <c r="N620" t="n">
        <v>0.1039</v>
      </c>
      <c r="O620" t="inlineStr">
        <is>
          <t>WATCH</t>
        </is>
      </c>
    </row>
    <row r="621">
      <c r="A621" t="n">
        <v>12845408</v>
      </c>
      <c r="B621" t="n">
        <v>620</v>
      </c>
      <c r="C621" t="n">
        <v>5695</v>
      </c>
      <c r="D621" t="n">
        <v>1810</v>
      </c>
      <c r="E621" t="n">
        <v>40</v>
      </c>
      <c r="F621" t="n">
        <v>0.4576</v>
      </c>
      <c r="G621" s="30" t="n">
        <v>9.500000000000001e-05</v>
      </c>
      <c r="H621" s="14" t="n">
        <v>0.9973</v>
      </c>
      <c r="I621" t="n">
        <v>0.317823</v>
      </c>
      <c r="J621" t="n">
        <v>0.0221</v>
      </c>
      <c r="K621" t="n">
        <v>0.011439</v>
      </c>
      <c r="L621" t="n">
        <v>1.3748</v>
      </c>
      <c r="M621" t="n">
        <v>0.0936</v>
      </c>
      <c r="N621" t="n">
        <v>0.1287</v>
      </c>
      <c r="O621" t="inlineStr">
        <is>
          <t>GROW</t>
        </is>
      </c>
    </row>
    <row r="622">
      <c r="A622" t="n">
        <v>10686810</v>
      </c>
      <c r="B622" t="n">
        <v>621</v>
      </c>
      <c r="C622" t="n">
        <v>2888</v>
      </c>
      <c r="D622" t="n">
        <v>1021</v>
      </c>
      <c r="E622" t="n">
        <v>8</v>
      </c>
      <c r="F622" t="n">
        <v>0.4528</v>
      </c>
      <c r="G622" s="30" t="n">
        <v>9.399999999999999e-05</v>
      </c>
      <c r="H622" s="14" t="n">
        <v>0.9974</v>
      </c>
      <c r="I622" t="n">
        <v>0.353532</v>
      </c>
      <c r="J622" t="n">
        <v>0.0078</v>
      </c>
      <c r="K622" t="n">
        <v>0.056596</v>
      </c>
      <c r="L622" t="n">
        <v>0.373</v>
      </c>
      <c r="M622" t="n">
        <v>0.2317</v>
      </c>
      <c r="N622" t="n">
        <v>0.0864</v>
      </c>
      <c r="O622" t="inlineStr">
        <is>
          <t>WATCH</t>
        </is>
      </c>
    </row>
    <row r="623">
      <c r="A623" t="n">
        <v>16920603</v>
      </c>
      <c r="B623" t="n">
        <v>622</v>
      </c>
      <c r="C623" t="n">
        <v>1976</v>
      </c>
      <c r="D623" t="n">
        <v>631</v>
      </c>
      <c r="E623" t="n">
        <v>39</v>
      </c>
      <c r="F623" t="n">
        <v>0.4515</v>
      </c>
      <c r="G623" s="30" t="n">
        <v>9.3e-05</v>
      </c>
      <c r="H623" s="14" t="n">
        <v>0.9975000000000001</v>
      </c>
      <c r="I623" t="n">
        <v>0.319332</v>
      </c>
      <c r="J623" t="n">
        <v>0.0618</v>
      </c>
      <c r="K623" t="n">
        <v>0.011578</v>
      </c>
      <c r="L623" t="n">
        <v>7.2005</v>
      </c>
      <c r="M623" t="n">
        <v>0.0281</v>
      </c>
      <c r="N623" t="n">
        <v>0.2026</v>
      </c>
      <c r="O623" t="inlineStr">
        <is>
          <t>GROW</t>
        </is>
      </c>
    </row>
    <row r="624">
      <c r="A624" t="n">
        <v>12987592</v>
      </c>
      <c r="B624" t="n">
        <v>623</v>
      </c>
      <c r="C624" t="n">
        <v>2067</v>
      </c>
      <c r="D624" t="n">
        <v>696</v>
      </c>
      <c r="E624" t="n">
        <v>30</v>
      </c>
      <c r="F624" t="n">
        <v>0.4451</v>
      </c>
      <c r="G624" s="30" t="n">
        <v>9.2e-05</v>
      </c>
      <c r="H624" s="14" t="n">
        <v>0.9976</v>
      </c>
      <c r="I624" t="n">
        <v>0.33672</v>
      </c>
      <c r="J624" t="n">
        <v>0.0431</v>
      </c>
      <c r="K624" t="n">
        <v>0.014838</v>
      </c>
      <c r="L624" t="n">
        <v>1.0306</v>
      </c>
      <c r="M624" t="n">
        <v>0.08749999999999999</v>
      </c>
      <c r="N624" t="n">
        <v>0.0901</v>
      </c>
      <c r="O624" t="inlineStr">
        <is>
          <t>GROW</t>
        </is>
      </c>
    </row>
    <row r="625">
      <c r="A625" t="n">
        <v>7210407</v>
      </c>
      <c r="B625" t="n">
        <v>624</v>
      </c>
      <c r="C625" t="n">
        <v>3720</v>
      </c>
      <c r="D625" t="n">
        <v>1926</v>
      </c>
      <c r="E625" t="n">
        <v>37</v>
      </c>
      <c r="F625" t="n">
        <v>0.4349</v>
      </c>
      <c r="G625" s="30" t="n">
        <v>9.000000000000001e-05</v>
      </c>
      <c r="H625" s="14" t="n">
        <v>0.9976</v>
      </c>
      <c r="I625" t="n">
        <v>0.517742</v>
      </c>
      <c r="J625" t="n">
        <v>0.0192</v>
      </c>
      <c r="K625" t="n">
        <v>0.011755</v>
      </c>
      <c r="L625" t="n">
        <v>0.3923</v>
      </c>
      <c r="M625" t="n">
        <v>0.1729</v>
      </c>
      <c r="N625" t="n">
        <v>0.0678</v>
      </c>
      <c r="O625" t="inlineStr">
        <is>
          <t>GROW</t>
        </is>
      </c>
    </row>
    <row r="626">
      <c r="A626" t="n">
        <v>17916128</v>
      </c>
      <c r="B626" t="n">
        <v>625</v>
      </c>
      <c r="C626" t="n">
        <v>3458</v>
      </c>
      <c r="D626" t="n">
        <v>602</v>
      </c>
      <c r="E626" t="n">
        <v>13</v>
      </c>
      <c r="F626" t="n">
        <v>0.4307</v>
      </c>
      <c r="G626" s="30" t="n">
        <v>8.899999999999999e-05</v>
      </c>
      <c r="H626" s="14" t="n">
        <v>0.9977</v>
      </c>
      <c r="I626" t="n">
        <v>0.174089</v>
      </c>
      <c r="J626" t="n">
        <v>0.0216</v>
      </c>
      <c r="K626" t="n">
        <v>0.033132</v>
      </c>
      <c r="L626" t="n">
        <v>0.6553</v>
      </c>
      <c r="M626" t="n">
        <v>0.1248</v>
      </c>
      <c r="N626" t="n">
        <v>0.0818</v>
      </c>
      <c r="O626" t="inlineStr">
        <is>
          <t>WATCH</t>
        </is>
      </c>
    </row>
    <row r="627">
      <c r="A627" t="n">
        <v>7892338</v>
      </c>
      <c r="B627" t="n">
        <v>626</v>
      </c>
      <c r="C627" t="n">
        <v>2730</v>
      </c>
      <c r="D627" t="n">
        <v>780</v>
      </c>
      <c r="E627" t="n">
        <v>27</v>
      </c>
      <c r="F627" t="n">
        <v>0.4292</v>
      </c>
      <c r="G627" s="30" t="n">
        <v>8.899999999999999e-05</v>
      </c>
      <c r="H627" s="14" t="n">
        <v>0.9978</v>
      </c>
      <c r="I627" t="n">
        <v>0.285714</v>
      </c>
      <c r="J627" t="n">
        <v>0.0346</v>
      </c>
      <c r="K627" t="n">
        <v>0.015898</v>
      </c>
      <c r="L627" t="n">
        <v>3.5216</v>
      </c>
      <c r="M627" t="n">
        <v>0.0486</v>
      </c>
      <c r="N627" t="n">
        <v>0.171</v>
      </c>
      <c r="O627" t="inlineStr">
        <is>
          <t>GROW</t>
        </is>
      </c>
    </row>
    <row r="628">
      <c r="A628" t="n">
        <v>73325</v>
      </c>
      <c r="B628" t="n">
        <v>627</v>
      </c>
      <c r="C628" t="n">
        <v>5692</v>
      </c>
      <c r="D628" t="n">
        <v>1511</v>
      </c>
      <c r="E628" t="n">
        <v>285</v>
      </c>
      <c r="F628" t="n">
        <v>0.4253</v>
      </c>
      <c r="G628" s="30" t="n">
        <v>8.8e-05</v>
      </c>
      <c r="H628" s="14" t="n">
        <v>0.9979</v>
      </c>
      <c r="I628" t="n">
        <v>0.26546</v>
      </c>
      <c r="J628" t="n">
        <v>0.1886</v>
      </c>
      <c r="K628" t="n">
        <v>0.001492</v>
      </c>
      <c r="L628" t="n">
        <v>0.5919</v>
      </c>
      <c r="M628" t="n">
        <v>0.1188</v>
      </c>
      <c r="N628" t="n">
        <v>0.0703</v>
      </c>
      <c r="O628" t="inlineStr">
        <is>
          <t>GROW</t>
        </is>
      </c>
    </row>
    <row r="629">
      <c r="A629" t="n">
        <v>3073305</v>
      </c>
      <c r="B629" t="n">
        <v>628</v>
      </c>
      <c r="C629" t="n">
        <v>8282</v>
      </c>
      <c r="D629" t="n">
        <v>2333</v>
      </c>
      <c r="E629" t="n">
        <v>1096</v>
      </c>
      <c r="F629" t="n">
        <v>0.4211</v>
      </c>
      <c r="G629" s="30" t="n">
        <v>8.7e-05</v>
      </c>
      <c r="H629" s="14" t="n">
        <v>0.998</v>
      </c>
      <c r="I629" t="n">
        <v>0.281695</v>
      </c>
      <c r="J629" t="n">
        <v>0.4698</v>
      </c>
      <c r="K629" t="n">
        <v>0.000384</v>
      </c>
      <c r="L629" t="n">
        <v>1.8259</v>
      </c>
      <c r="M629" t="n">
        <v>0.06900000000000001</v>
      </c>
      <c r="N629" t="n">
        <v>0.1259</v>
      </c>
      <c r="O629" t="inlineStr">
        <is>
          <t>GROW</t>
        </is>
      </c>
    </row>
    <row r="630">
      <c r="A630" t="n">
        <v>12089516</v>
      </c>
      <c r="B630" t="n">
        <v>629</v>
      </c>
      <c r="C630" t="n">
        <v>4948</v>
      </c>
      <c r="D630" t="n">
        <v>1629</v>
      </c>
      <c r="E630" t="n">
        <v>33</v>
      </c>
      <c r="F630" t="n">
        <v>0.4085</v>
      </c>
      <c r="G630" s="30" t="n">
        <v>8.500000000000001e-05</v>
      </c>
      <c r="H630" s="14" t="n">
        <v>0.9981</v>
      </c>
      <c r="I630" t="n">
        <v>0.329224</v>
      </c>
      <c r="J630" t="n">
        <v>0.0203</v>
      </c>
      <c r="K630" t="n">
        <v>0.01238</v>
      </c>
      <c r="L630" t="n">
        <v>2.5373</v>
      </c>
      <c r="M630" t="n">
        <v>0.0525</v>
      </c>
      <c r="N630" t="n">
        <v>0.1332</v>
      </c>
      <c r="O630" t="inlineStr">
        <is>
          <t>GROW</t>
        </is>
      </c>
    </row>
    <row r="631">
      <c r="A631" t="n">
        <v>20916101</v>
      </c>
      <c r="B631" t="n">
        <v>630</v>
      </c>
      <c r="C631" t="n">
        <v>1742</v>
      </c>
      <c r="D631" t="n">
        <v>785</v>
      </c>
      <c r="E631" t="n">
        <v>88</v>
      </c>
      <c r="F631" t="n">
        <v>0.4061</v>
      </c>
      <c r="G631" s="30" t="n">
        <v>8.4e-05</v>
      </c>
      <c r="H631" s="14" t="n">
        <v>0.9982</v>
      </c>
      <c r="I631" t="n">
        <v>0.450631</v>
      </c>
      <c r="J631" t="n">
        <v>0.1121</v>
      </c>
      <c r="K631" t="n">
        <v>0.004615</v>
      </c>
      <c r="L631" t="n">
        <v>0.6432</v>
      </c>
      <c r="M631" t="n">
        <v>0.1048</v>
      </c>
      <c r="N631" t="n">
        <v>0.0674</v>
      </c>
      <c r="O631" t="inlineStr">
        <is>
          <t>GROW</t>
        </is>
      </c>
    </row>
    <row r="632">
      <c r="A632" t="n">
        <v>3858763</v>
      </c>
      <c r="B632" t="n">
        <v>631</v>
      </c>
      <c r="C632" t="n">
        <v>1099</v>
      </c>
      <c r="D632" t="n">
        <v>464</v>
      </c>
      <c r="E632" t="n">
        <v>67</v>
      </c>
      <c r="F632" t="n">
        <v>0.3903</v>
      </c>
      <c r="G632" s="30" t="n">
        <v>8.1e-05</v>
      </c>
      <c r="H632" s="14" t="n">
        <v>0.9982</v>
      </c>
      <c r="I632" t="n">
        <v>0.422202</v>
      </c>
      <c r="J632" t="n">
        <v>0.1444</v>
      </c>
      <c r="K632" t="n">
        <v>0.005825</v>
      </c>
      <c r="L632" t="n">
        <v>0.4105</v>
      </c>
      <c r="M632" t="n">
        <v>0.1373</v>
      </c>
      <c r="N632" t="n">
        <v>0.0564</v>
      </c>
      <c r="O632" t="inlineStr">
        <is>
          <t>GROW</t>
        </is>
      </c>
    </row>
    <row r="633">
      <c r="A633" t="n">
        <v>8695046</v>
      </c>
      <c r="B633" t="n">
        <v>632</v>
      </c>
      <c r="C633" t="n">
        <v>3105</v>
      </c>
      <c r="D633" t="n">
        <v>1251</v>
      </c>
      <c r="E633" t="n">
        <v>84</v>
      </c>
      <c r="F633" t="n">
        <v>0.39</v>
      </c>
      <c r="G633" s="30" t="n">
        <v>8.1e-05</v>
      </c>
      <c r="H633" s="14" t="n">
        <v>0.9983</v>
      </c>
      <c r="I633" t="n">
        <v>0.402899</v>
      </c>
      <c r="J633" t="n">
        <v>0.06710000000000001</v>
      </c>
      <c r="K633" t="n">
        <v>0.004642</v>
      </c>
      <c r="L633" t="n">
        <v>0.9228</v>
      </c>
      <c r="M633" t="n">
        <v>0.1011</v>
      </c>
      <c r="N633" t="n">
        <v>0.09329999999999999</v>
      </c>
      <c r="O633" t="inlineStr">
        <is>
          <t>GROW</t>
        </is>
      </c>
    </row>
    <row r="634">
      <c r="A634" t="n">
        <v>8904991</v>
      </c>
      <c r="B634" t="n">
        <v>633</v>
      </c>
      <c r="C634" t="n">
        <v>1462</v>
      </c>
      <c r="D634" t="n">
        <v>536</v>
      </c>
      <c r="E634" t="n">
        <v>110</v>
      </c>
      <c r="F634" t="n">
        <v>0.3895</v>
      </c>
      <c r="G634" s="30" t="n">
        <v>8.1e-05</v>
      </c>
      <c r="H634" s="14" t="n">
        <v>0.9984</v>
      </c>
      <c r="I634" t="n">
        <v>0.366621</v>
      </c>
      <c r="J634" t="n">
        <v>0.2052</v>
      </c>
      <c r="K634" t="n">
        <v>0.003541</v>
      </c>
      <c r="L634" t="n">
        <v>0.7359</v>
      </c>
      <c r="M634" t="n">
        <v>0.1129</v>
      </c>
      <c r="N634" t="n">
        <v>0.08309999999999999</v>
      </c>
      <c r="O634" t="inlineStr">
        <is>
          <t>GROW</t>
        </is>
      </c>
    </row>
    <row r="635">
      <c r="A635" t="n">
        <v>29036280</v>
      </c>
      <c r="B635" t="n">
        <v>634</v>
      </c>
      <c r="C635" t="n">
        <v>1005</v>
      </c>
      <c r="D635" t="n">
        <v>377</v>
      </c>
      <c r="E635" t="n">
        <v>10</v>
      </c>
      <c r="F635" t="n">
        <v>0.3809</v>
      </c>
      <c r="G635" s="30" t="n">
        <v>7.9e-05</v>
      </c>
      <c r="H635" s="14" t="n">
        <v>0.9985000000000001</v>
      </c>
      <c r="I635" t="n">
        <v>0.375124</v>
      </c>
      <c r="J635" t="n">
        <v>0.0265</v>
      </c>
      <c r="K635" t="n">
        <v>0.038094</v>
      </c>
      <c r="L635" t="n">
        <v>0.3105</v>
      </c>
      <c r="M635" t="n">
        <v>0.1557</v>
      </c>
      <c r="N635" t="n">
        <v>0.0483</v>
      </c>
      <c r="O635" t="inlineStr">
        <is>
          <t>WATCH</t>
        </is>
      </c>
    </row>
    <row r="636">
      <c r="A636" t="n">
        <v>14458669</v>
      </c>
      <c r="B636" t="n">
        <v>635</v>
      </c>
      <c r="C636" t="n">
        <v>5371</v>
      </c>
      <c r="D636" t="n">
        <v>1477</v>
      </c>
      <c r="E636" t="n">
        <v>26</v>
      </c>
      <c r="F636" t="n">
        <v>0.357</v>
      </c>
      <c r="G636" s="30" t="n">
        <v>7.4e-05</v>
      </c>
      <c r="H636" s="14" t="n">
        <v>0.9986</v>
      </c>
      <c r="I636" t="n">
        <v>0.274995</v>
      </c>
      <c r="J636" t="n">
        <v>0.0176</v>
      </c>
      <c r="K636" t="n">
        <v>0.01373</v>
      </c>
      <c r="L636" t="n">
        <v>1.0032</v>
      </c>
      <c r="M636" t="n">
        <v>0.075</v>
      </c>
      <c r="N636" t="n">
        <v>0.0752</v>
      </c>
      <c r="O636" t="inlineStr">
        <is>
          <t>GROW</t>
        </is>
      </c>
    </row>
    <row r="637">
      <c r="A637" t="n">
        <v>12654888</v>
      </c>
      <c r="B637" t="n">
        <v>636</v>
      </c>
      <c r="C637" t="n">
        <v>3013</v>
      </c>
      <c r="D637" t="n">
        <v>1114</v>
      </c>
      <c r="E637" t="n">
        <v>36</v>
      </c>
      <c r="F637" t="n">
        <v>0.3568</v>
      </c>
      <c r="G637" s="30" t="n">
        <v>7.4e-05</v>
      </c>
      <c r="H637" s="14" t="n">
        <v>0.9986</v>
      </c>
      <c r="I637" t="n">
        <v>0.369731</v>
      </c>
      <c r="J637" t="n">
        <v>0.0323</v>
      </c>
      <c r="K637" t="n">
        <v>0.00991</v>
      </c>
      <c r="L637" t="n">
        <v>1.099</v>
      </c>
      <c r="M637" t="n">
        <v>0.08400000000000001</v>
      </c>
      <c r="N637" t="n">
        <v>0.0924</v>
      </c>
      <c r="O637" t="inlineStr">
        <is>
          <t>GROW</t>
        </is>
      </c>
    </row>
    <row r="638">
      <c r="A638" t="n">
        <v>7403871</v>
      </c>
      <c r="B638" t="n">
        <v>637</v>
      </c>
      <c r="C638" t="n">
        <v>2328</v>
      </c>
      <c r="D638" t="n">
        <v>560</v>
      </c>
      <c r="E638" t="n">
        <v>24</v>
      </c>
      <c r="F638" t="n">
        <v>0.3561</v>
      </c>
      <c r="G638" s="30" t="n">
        <v>7.4e-05</v>
      </c>
      <c r="H638" s="14" t="n">
        <v>0.9987</v>
      </c>
      <c r="I638" t="n">
        <v>0.24055</v>
      </c>
      <c r="J638" t="n">
        <v>0.0429</v>
      </c>
      <c r="K638" t="n">
        <v>0.01484</v>
      </c>
      <c r="L638" t="n">
        <v>0.4099</v>
      </c>
      <c r="M638" t="n">
        <v>0.1665</v>
      </c>
      <c r="N638" t="n">
        <v>0.0682</v>
      </c>
      <c r="O638" t="inlineStr">
        <is>
          <t>GROW</t>
        </is>
      </c>
    </row>
    <row r="639">
      <c r="A639" t="n">
        <v>3073302</v>
      </c>
      <c r="B639" t="n">
        <v>638</v>
      </c>
      <c r="C639" t="n">
        <v>8614</v>
      </c>
      <c r="D639" t="n">
        <v>1847</v>
      </c>
      <c r="E639" t="n">
        <v>697</v>
      </c>
      <c r="F639" t="n">
        <v>0.3536</v>
      </c>
      <c r="G639" s="30" t="n">
        <v>7.3e-05</v>
      </c>
      <c r="H639" s="14" t="n">
        <v>0.9988</v>
      </c>
      <c r="I639" t="n">
        <v>0.214418</v>
      </c>
      <c r="J639" t="n">
        <v>0.3774</v>
      </c>
      <c r="K639" t="n">
        <v>0.000507</v>
      </c>
      <c r="L639" t="n">
        <v>0.4749</v>
      </c>
      <c r="M639" t="n">
        <v>0.078</v>
      </c>
      <c r="N639" t="n">
        <v>0.0371</v>
      </c>
      <c r="O639" t="inlineStr">
        <is>
          <t>GROW</t>
        </is>
      </c>
    </row>
    <row r="640">
      <c r="A640" t="n">
        <v>25391297</v>
      </c>
      <c r="B640" t="n">
        <v>639</v>
      </c>
      <c r="C640" t="n">
        <v>1067</v>
      </c>
      <c r="D640" t="n">
        <v>325</v>
      </c>
      <c r="E640" t="n">
        <v>8</v>
      </c>
      <c r="F640" t="n">
        <v>0.3136</v>
      </c>
      <c r="G640" s="30" t="n">
        <v>6.499999999999999e-05</v>
      </c>
      <c r="H640" s="14" t="n">
        <v>0.9988</v>
      </c>
      <c r="I640" t="n">
        <v>0.304592</v>
      </c>
      <c r="J640" t="n">
        <v>0.0246</v>
      </c>
      <c r="K640" t="n">
        <v>0.039203</v>
      </c>
      <c r="L640" t="n">
        <v>0.8517</v>
      </c>
      <c r="M640" t="n">
        <v>0.07969999999999999</v>
      </c>
      <c r="N640" t="n">
        <v>0.0679</v>
      </c>
      <c r="O640" t="inlineStr">
        <is>
          <t>WATCH</t>
        </is>
      </c>
    </row>
    <row r="641">
      <c r="A641" t="n">
        <v>3073304</v>
      </c>
      <c r="B641" t="n">
        <v>640</v>
      </c>
      <c r="C641" t="n">
        <v>5064</v>
      </c>
      <c r="D641" t="n">
        <v>981</v>
      </c>
      <c r="E641" t="n">
        <v>378</v>
      </c>
      <c r="F641" t="n">
        <v>0.3056</v>
      </c>
      <c r="G641" s="30" t="n">
        <v>6.3e-05</v>
      </c>
      <c r="H641" s="14" t="n">
        <v>0.9989</v>
      </c>
      <c r="I641" t="n">
        <v>0.19372</v>
      </c>
      <c r="J641" t="n">
        <v>0.3853</v>
      </c>
      <c r="K641" t="n">
        <v>0.000808</v>
      </c>
      <c r="L641" t="n">
        <v>0.5848</v>
      </c>
      <c r="M641" t="n">
        <v>0.0853</v>
      </c>
      <c r="N641" t="n">
        <v>0.0499</v>
      </c>
      <c r="O641" t="inlineStr">
        <is>
          <t>GROW</t>
        </is>
      </c>
    </row>
    <row r="642">
      <c r="A642" t="n">
        <v>7980574</v>
      </c>
      <c r="B642" t="n">
        <v>641</v>
      </c>
      <c r="C642" t="n">
        <v>2768</v>
      </c>
      <c r="D642" t="n">
        <v>1075</v>
      </c>
      <c r="E642" t="n">
        <v>45</v>
      </c>
      <c r="F642" t="n">
        <v>0.2929</v>
      </c>
      <c r="G642" s="30" t="n">
        <v>6.1e-05</v>
      </c>
      <c r="H642" s="14" t="n">
        <v>0.999</v>
      </c>
      <c r="I642" t="n">
        <v>0.388367</v>
      </c>
      <c r="J642" t="n">
        <v>0.0419</v>
      </c>
      <c r="K642" t="n">
        <v>0.006509</v>
      </c>
      <c r="L642" t="n">
        <v>3.4925</v>
      </c>
      <c r="M642" t="n">
        <v>0.021</v>
      </c>
      <c r="N642" t="n">
        <v>0.0733</v>
      </c>
      <c r="O642" t="inlineStr">
        <is>
          <t>GROW</t>
        </is>
      </c>
    </row>
    <row r="643">
      <c r="A643" t="n">
        <v>30471715</v>
      </c>
      <c r="B643" t="n">
        <v>642</v>
      </c>
      <c r="C643" t="n">
        <v>1607</v>
      </c>
      <c r="D643" t="n">
        <v>742</v>
      </c>
      <c r="E643" t="n">
        <v>42</v>
      </c>
      <c r="F643" t="n">
        <v>0.2679</v>
      </c>
      <c r="G643" s="30" t="n">
        <v>5.5e-05</v>
      </c>
      <c r="H643" s="14" t="n">
        <v>0.999</v>
      </c>
      <c r="I643" t="n">
        <v>0.46173</v>
      </c>
      <c r="J643" t="n">
        <v>0.0566</v>
      </c>
      <c r="K643" t="n">
        <v>0.006378</v>
      </c>
      <c r="L643" t="n">
        <v>0.6852</v>
      </c>
      <c r="M643" t="n">
        <v>0.0654</v>
      </c>
      <c r="N643" t="n">
        <v>0.0448</v>
      </c>
      <c r="O643" t="inlineStr">
        <is>
          <t>GROW</t>
        </is>
      </c>
    </row>
    <row r="644">
      <c r="A644" t="n">
        <v>9551057</v>
      </c>
      <c r="B644" t="n">
        <v>643</v>
      </c>
      <c r="C644" t="n">
        <v>952</v>
      </c>
      <c r="D644" t="n">
        <v>339</v>
      </c>
      <c r="E644" t="n">
        <v>16</v>
      </c>
      <c r="F644" t="n">
        <v>0.2658</v>
      </c>
      <c r="G644" s="30" t="n">
        <v>5.5e-05</v>
      </c>
      <c r="H644" s="14" t="n">
        <v>0.9991</v>
      </c>
      <c r="I644" t="n">
        <v>0.356092</v>
      </c>
      <c r="J644" t="n">
        <v>0.0472</v>
      </c>
      <c r="K644" t="n">
        <v>0.016611</v>
      </c>
      <c r="L644" t="n">
        <v>1.9472</v>
      </c>
      <c r="M644" t="n">
        <v>0.0433</v>
      </c>
      <c r="N644" t="n">
        <v>0.0842</v>
      </c>
      <c r="O644" t="inlineStr">
        <is>
          <t>GROW</t>
        </is>
      </c>
    </row>
    <row r="645">
      <c r="A645" t="n">
        <v>4084327</v>
      </c>
      <c r="B645" t="n">
        <v>644</v>
      </c>
      <c r="C645" t="n">
        <v>929</v>
      </c>
      <c r="D645" t="n">
        <v>340</v>
      </c>
      <c r="E645" t="n">
        <v>44</v>
      </c>
      <c r="F645" t="n">
        <v>0.2538</v>
      </c>
      <c r="G645" s="30" t="n">
        <v>5.3e-05</v>
      </c>
      <c r="H645" s="14" t="n">
        <v>0.9991</v>
      </c>
      <c r="I645" t="n">
        <v>0.365985</v>
      </c>
      <c r="J645" t="n">
        <v>0.1294</v>
      </c>
      <c r="K645" t="n">
        <v>0.005768</v>
      </c>
      <c r="L645" t="n">
        <v>0.9291</v>
      </c>
      <c r="M645" t="n">
        <v>0.0527</v>
      </c>
      <c r="N645" t="n">
        <v>0.0489</v>
      </c>
      <c r="O645" t="inlineStr">
        <is>
          <t>GROW</t>
        </is>
      </c>
    </row>
    <row r="646">
      <c r="A646" t="n">
        <v>26998439</v>
      </c>
      <c r="B646" t="n">
        <v>645</v>
      </c>
      <c r="C646" t="n">
        <v>4080</v>
      </c>
      <c r="D646" t="n">
        <v>1825</v>
      </c>
      <c r="E646" t="n">
        <v>51</v>
      </c>
      <c r="F646" t="n">
        <v>0.253</v>
      </c>
      <c r="G646" s="30" t="n">
        <v>5.2e-05</v>
      </c>
      <c r="H646" s="14" t="n">
        <v>0.9992</v>
      </c>
      <c r="I646" t="n">
        <v>0.447304</v>
      </c>
      <c r="J646" t="n">
        <v>0.0279</v>
      </c>
      <c r="K646" t="n">
        <v>0.004961</v>
      </c>
      <c r="L646" t="n">
        <v>1.5091</v>
      </c>
      <c r="M646" t="n">
        <v>0.0511</v>
      </c>
      <c r="N646" t="n">
        <v>0.0772</v>
      </c>
      <c r="O646" t="inlineStr">
        <is>
          <t>GROW</t>
        </is>
      </c>
    </row>
    <row r="647">
      <c r="A647" t="n">
        <v>23254639</v>
      </c>
      <c r="B647" t="n">
        <v>646</v>
      </c>
      <c r="C647" t="n">
        <v>1555</v>
      </c>
      <c r="D647" t="n">
        <v>649</v>
      </c>
      <c r="E647" t="n">
        <v>14</v>
      </c>
      <c r="F647" t="n">
        <v>0.2529</v>
      </c>
      <c r="G647" s="30" t="n">
        <v>5.2e-05</v>
      </c>
      <c r="H647" s="14" t="n">
        <v>0.9992</v>
      </c>
      <c r="I647" t="n">
        <v>0.417363</v>
      </c>
      <c r="J647" t="n">
        <v>0.0216</v>
      </c>
      <c r="K647" t="n">
        <v>0.018063</v>
      </c>
      <c r="M647" t="n">
        <v>0.1836</v>
      </c>
      <c r="O647" t="inlineStr">
        <is>
          <t>GROW</t>
        </is>
      </c>
    </row>
    <row r="648">
      <c r="A648" t="n">
        <v>16040127</v>
      </c>
      <c r="B648" t="n">
        <v>647</v>
      </c>
      <c r="C648" t="n">
        <v>2545</v>
      </c>
      <c r="D648" t="n">
        <v>498</v>
      </c>
      <c r="E648" t="n">
        <v>9</v>
      </c>
      <c r="F648" t="n">
        <v>0.2467</v>
      </c>
      <c r="G648" s="30" t="n">
        <v>5.1e-05</v>
      </c>
      <c r="H648" s="14" t="n">
        <v>0.9993</v>
      </c>
      <c r="I648" t="n">
        <v>0.195678</v>
      </c>
      <c r="J648" t="n">
        <v>0.0181</v>
      </c>
      <c r="K648" t="n">
        <v>0.02741</v>
      </c>
      <c r="L648" t="n">
        <v>3.6613</v>
      </c>
      <c r="M648" t="n">
        <v>0.0311</v>
      </c>
      <c r="N648" t="n">
        <v>0.1137</v>
      </c>
      <c r="O648" t="inlineStr">
        <is>
          <t>WATCH</t>
        </is>
      </c>
    </row>
    <row r="649">
      <c r="A649" t="n">
        <v>6341185</v>
      </c>
      <c r="B649" t="n">
        <v>648</v>
      </c>
      <c r="C649" t="n">
        <v>1325</v>
      </c>
      <c r="D649" t="n">
        <v>249</v>
      </c>
      <c r="E649" t="n">
        <v>4</v>
      </c>
      <c r="F649" t="n">
        <v>0.246</v>
      </c>
      <c r="G649" s="30" t="n">
        <v>5.1e-05</v>
      </c>
      <c r="H649" s="14" t="n">
        <v>0.9993</v>
      </c>
      <c r="I649" t="n">
        <v>0.187925</v>
      </c>
      <c r="J649" t="n">
        <v>0.0161</v>
      </c>
      <c r="K649" t="n">
        <v>0.061501</v>
      </c>
      <c r="L649" t="n">
        <v>0.9023</v>
      </c>
      <c r="M649" t="n">
        <v>0.0443</v>
      </c>
      <c r="N649" t="n">
        <v>0.04</v>
      </c>
      <c r="O649" t="inlineStr">
        <is>
          <t>WATCH</t>
        </is>
      </c>
    </row>
    <row r="650">
      <c r="A650" t="n">
        <v>27644431</v>
      </c>
      <c r="B650" t="n">
        <v>649</v>
      </c>
      <c r="C650" t="n">
        <v>2564</v>
      </c>
      <c r="D650" t="n">
        <v>296</v>
      </c>
      <c r="E650" t="n">
        <v>35</v>
      </c>
      <c r="F650" t="n">
        <v>0.2352</v>
      </c>
      <c r="G650" s="30" t="n">
        <v>4.9e-05</v>
      </c>
      <c r="H650" s="14" t="n">
        <v>0.9994</v>
      </c>
      <c r="I650" t="n">
        <v>0.115445</v>
      </c>
      <c r="J650" t="n">
        <v>0.1182</v>
      </c>
      <c r="K650" t="n">
        <v>0.006721</v>
      </c>
      <c r="L650" t="n">
        <v>0.8178</v>
      </c>
      <c r="M650" t="n">
        <v>0.0654</v>
      </c>
      <c r="N650" t="n">
        <v>0.0535</v>
      </c>
      <c r="O650" t="inlineStr">
        <is>
          <t>GROW</t>
        </is>
      </c>
    </row>
    <row r="651">
      <c r="A651" t="n">
        <v>5871888</v>
      </c>
      <c r="B651" t="n">
        <v>650</v>
      </c>
      <c r="C651" t="n">
        <v>22314</v>
      </c>
      <c r="D651" t="n">
        <v>6385</v>
      </c>
      <c r="E651" t="n">
        <v>233</v>
      </c>
      <c r="F651" t="n">
        <v>0.2231</v>
      </c>
      <c r="G651" s="30" t="n">
        <v>4.6e-05</v>
      </c>
      <c r="H651" s="14" t="n">
        <v>0.9994</v>
      </c>
      <c r="I651" t="n">
        <v>0.286143</v>
      </c>
      <c r="J651" t="n">
        <v>0.0365</v>
      </c>
      <c r="K651" t="n">
        <v>0.000958</v>
      </c>
      <c r="L651" t="n">
        <v>0.6012999999999999</v>
      </c>
      <c r="M651" t="n">
        <v>0.0653</v>
      </c>
      <c r="N651" t="n">
        <v>0.0393</v>
      </c>
      <c r="O651" t="inlineStr">
        <is>
          <t>GROW</t>
        </is>
      </c>
    </row>
    <row r="652">
      <c r="A652" t="n">
        <v>12042241</v>
      </c>
      <c r="B652" t="n">
        <v>651</v>
      </c>
      <c r="C652" t="n">
        <v>1113</v>
      </c>
      <c r="D652" t="n">
        <v>424</v>
      </c>
      <c r="E652" t="n">
        <v>72</v>
      </c>
      <c r="F652" t="n">
        <v>0.2157</v>
      </c>
      <c r="G652" s="30" t="n">
        <v>4.5e-05</v>
      </c>
      <c r="H652" s="14" t="n">
        <v>0.9995000000000001</v>
      </c>
      <c r="I652" t="n">
        <v>0.380952</v>
      </c>
      <c r="J652" t="n">
        <v>0.1698</v>
      </c>
      <c r="K652" t="n">
        <v>0.002996</v>
      </c>
      <c r="L652" t="n">
        <v>0.5799</v>
      </c>
      <c r="M652" t="n">
        <v>0.0552</v>
      </c>
      <c r="N652" t="n">
        <v>0.032</v>
      </c>
      <c r="O652" t="inlineStr">
        <is>
          <t>GROW</t>
        </is>
      </c>
    </row>
    <row r="653">
      <c r="A653" t="n">
        <v>2462355</v>
      </c>
      <c r="B653" t="n">
        <v>652</v>
      </c>
      <c r="C653" t="n">
        <v>2446</v>
      </c>
      <c r="D653" t="n">
        <v>1191</v>
      </c>
      <c r="E653" t="n">
        <v>12</v>
      </c>
      <c r="F653" t="n">
        <v>0.2135</v>
      </c>
      <c r="G653" s="30" t="n">
        <v>4.4e-05</v>
      </c>
      <c r="H653" s="14" t="n">
        <v>0.9995000000000001</v>
      </c>
      <c r="I653" t="n">
        <v>0.486917</v>
      </c>
      <c r="J653" t="n">
        <v>0.0101</v>
      </c>
      <c r="K653" t="n">
        <v>0.017793</v>
      </c>
      <c r="L653" t="n">
        <v>1.1812</v>
      </c>
      <c r="M653" t="n">
        <v>0.0441</v>
      </c>
      <c r="N653" t="n">
        <v>0.0521</v>
      </c>
      <c r="O653" t="inlineStr">
        <is>
          <t>GROW</t>
        </is>
      </c>
    </row>
    <row r="654">
      <c r="A654" t="n">
        <v>8403853</v>
      </c>
      <c r="B654" t="n">
        <v>653</v>
      </c>
      <c r="C654" t="n">
        <v>1038</v>
      </c>
      <c r="D654" t="n">
        <v>405</v>
      </c>
      <c r="E654" t="n">
        <v>26</v>
      </c>
      <c r="F654" t="n">
        <v>0.1845</v>
      </c>
      <c r="G654" s="30" t="n">
        <v>3.8e-05</v>
      </c>
      <c r="H654" s="14" t="n">
        <v>0.9996</v>
      </c>
      <c r="I654" t="n">
        <v>0.390173</v>
      </c>
      <c r="J654" t="n">
        <v>0.06419999999999999</v>
      </c>
      <c r="K654" t="n">
        <v>0.007096</v>
      </c>
      <c r="L654" t="n">
        <v>1.0937</v>
      </c>
      <c r="M654" t="n">
        <v>0.0385</v>
      </c>
      <c r="N654" t="n">
        <v>0.0421</v>
      </c>
      <c r="O654" t="inlineStr">
        <is>
          <t>GROW</t>
        </is>
      </c>
    </row>
    <row r="655">
      <c r="A655" t="n">
        <v>11835565</v>
      </c>
      <c r="B655" t="n">
        <v>654</v>
      </c>
      <c r="C655" t="n">
        <v>1747</v>
      </c>
      <c r="D655" t="n">
        <v>653</v>
      </c>
      <c r="E655" t="n">
        <v>52</v>
      </c>
      <c r="F655" t="n">
        <v>0.1825</v>
      </c>
      <c r="G655" s="30" t="n">
        <v>3.8e-05</v>
      </c>
      <c r="H655" s="14" t="n">
        <v>0.9996</v>
      </c>
      <c r="I655" t="n">
        <v>0.373784</v>
      </c>
      <c r="J655" t="n">
        <v>0.0796</v>
      </c>
      <c r="K655" t="n">
        <v>0.003509</v>
      </c>
      <c r="L655" t="n">
        <v>0.3276</v>
      </c>
      <c r="M655" t="n">
        <v>0.0755</v>
      </c>
      <c r="N655" t="n">
        <v>0.0247</v>
      </c>
      <c r="O655" t="inlineStr">
        <is>
          <t>GROW</t>
        </is>
      </c>
    </row>
    <row r="656">
      <c r="A656" t="n">
        <v>3073303</v>
      </c>
      <c r="B656" t="n">
        <v>655</v>
      </c>
      <c r="C656" t="n">
        <v>3429</v>
      </c>
      <c r="D656" t="n">
        <v>913</v>
      </c>
      <c r="E656" t="n">
        <v>448</v>
      </c>
      <c r="F656" t="n">
        <v>0.1736</v>
      </c>
      <c r="G656" s="30" t="n">
        <v>3.6e-05</v>
      </c>
      <c r="H656" s="14" t="n">
        <v>0.9996</v>
      </c>
      <c r="I656" t="n">
        <v>0.266258</v>
      </c>
      <c r="J656" t="n">
        <v>0.4907</v>
      </c>
      <c r="K656" t="n">
        <v>0.000387</v>
      </c>
      <c r="L656" t="n">
        <v>1.127</v>
      </c>
      <c r="M656" t="n">
        <v>0.0349</v>
      </c>
      <c r="N656" t="n">
        <v>0.0393</v>
      </c>
      <c r="O656" t="inlineStr">
        <is>
          <t>GROW</t>
        </is>
      </c>
    </row>
    <row r="657">
      <c r="A657" t="n">
        <v>12810171</v>
      </c>
      <c r="B657" t="n">
        <v>656</v>
      </c>
      <c r="C657" t="n">
        <v>1342</v>
      </c>
      <c r="D657" t="n">
        <v>390</v>
      </c>
      <c r="E657" t="n">
        <v>34</v>
      </c>
      <c r="F657" t="n">
        <v>0.1566</v>
      </c>
      <c r="G657" s="30" t="n">
        <v>3.2e-05</v>
      </c>
      <c r="H657" s="14" t="n">
        <v>0.9997</v>
      </c>
      <c r="I657" t="n">
        <v>0.290611</v>
      </c>
      <c r="J657" t="n">
        <v>0.0872</v>
      </c>
      <c r="K657" t="n">
        <v>0.004606</v>
      </c>
      <c r="L657" t="n">
        <v>0.7796</v>
      </c>
      <c r="M657" t="n">
        <v>0.0451</v>
      </c>
      <c r="N657" t="n">
        <v>0.0352</v>
      </c>
      <c r="O657" t="inlineStr">
        <is>
          <t>GROW</t>
        </is>
      </c>
    </row>
    <row r="658">
      <c r="A658" t="n">
        <v>2073319</v>
      </c>
      <c r="B658" t="n">
        <v>657</v>
      </c>
      <c r="C658" t="n">
        <v>3090</v>
      </c>
      <c r="D658" t="n">
        <v>805</v>
      </c>
      <c r="E658" t="n">
        <v>313</v>
      </c>
      <c r="F658" t="n">
        <v>0.1428</v>
      </c>
      <c r="G658" s="30" t="n">
        <v>3e-05</v>
      </c>
      <c r="H658" s="14" t="n">
        <v>0.9997</v>
      </c>
      <c r="I658" t="n">
        <v>0.260518</v>
      </c>
      <c r="J658" t="n">
        <v>0.3888</v>
      </c>
      <c r="K658" t="n">
        <v>0.000456</v>
      </c>
      <c r="L658" t="n">
        <v>0.6062</v>
      </c>
      <c r="M658" t="n">
        <v>0.0352</v>
      </c>
      <c r="N658" t="n">
        <v>0.0214</v>
      </c>
      <c r="O658" t="inlineStr">
        <is>
          <t>GROW</t>
        </is>
      </c>
    </row>
    <row r="659">
      <c r="A659" t="n">
        <v>29531977</v>
      </c>
      <c r="B659" t="n">
        <v>658</v>
      </c>
      <c r="C659" t="n">
        <v>1134</v>
      </c>
      <c r="D659" t="n">
        <v>314</v>
      </c>
      <c r="E659" t="n">
        <v>127</v>
      </c>
      <c r="F659" t="n">
        <v>0.1316</v>
      </c>
      <c r="G659" s="30" t="n">
        <v>2.7e-05</v>
      </c>
      <c r="H659" s="14" t="n">
        <v>0.9997</v>
      </c>
      <c r="I659" t="n">
        <v>0.276896</v>
      </c>
      <c r="J659" t="n">
        <v>0.4045</v>
      </c>
      <c r="K659" t="n">
        <v>0.001036</v>
      </c>
      <c r="L659" t="n">
        <v>0.7874</v>
      </c>
      <c r="M659" t="n">
        <v>0.0213</v>
      </c>
      <c r="N659" t="n">
        <v>0.0167</v>
      </c>
      <c r="O659" t="inlineStr">
        <is>
          <t>GROW</t>
        </is>
      </c>
    </row>
    <row r="660">
      <c r="A660" t="n">
        <v>28233117</v>
      </c>
      <c r="B660" t="n">
        <v>659</v>
      </c>
      <c r="C660" t="n">
        <v>1018</v>
      </c>
      <c r="D660" t="n">
        <v>137</v>
      </c>
      <c r="E660" t="n">
        <v>39</v>
      </c>
      <c r="F660" t="n">
        <v>0.1309</v>
      </c>
      <c r="G660" s="30" t="n">
        <v>2.7e-05</v>
      </c>
      <c r="H660" s="14" t="n">
        <v>0.9997</v>
      </c>
      <c r="I660" t="n">
        <v>0.134578</v>
      </c>
      <c r="J660" t="n">
        <v>0.2847</v>
      </c>
      <c r="K660" t="n">
        <v>0.003355</v>
      </c>
      <c r="L660" t="n">
        <v>0.3298</v>
      </c>
      <c r="M660" t="n">
        <v>0.0505</v>
      </c>
      <c r="N660" t="n">
        <v>0.0166</v>
      </c>
      <c r="O660" t="inlineStr">
        <is>
          <t>GROW</t>
        </is>
      </c>
    </row>
    <row r="661">
      <c r="A661" t="n">
        <v>8287704</v>
      </c>
      <c r="B661" t="n">
        <v>660</v>
      </c>
      <c r="C661" t="n">
        <v>858</v>
      </c>
      <c r="D661" t="n">
        <v>221</v>
      </c>
      <c r="E661" t="n">
        <v>40</v>
      </c>
      <c r="F661" t="n">
        <v>0.1267</v>
      </c>
      <c r="G661" s="30" t="n">
        <v>2.6e-05</v>
      </c>
      <c r="H661" s="14" t="n">
        <v>0.9998</v>
      </c>
      <c r="I661" t="n">
        <v>0.257576</v>
      </c>
      <c r="J661" t="n">
        <v>0.181</v>
      </c>
      <c r="K661" t="n">
        <v>0.003166</v>
      </c>
      <c r="L661" t="n">
        <v>14.3721</v>
      </c>
      <c r="M661" t="n">
        <v>0.0027</v>
      </c>
      <c r="N661" t="n">
        <v>0.0391</v>
      </c>
      <c r="O661" t="inlineStr">
        <is>
          <t>GROW</t>
        </is>
      </c>
    </row>
    <row r="662">
      <c r="A662" t="n">
        <v>18496278</v>
      </c>
      <c r="B662" t="n">
        <v>661</v>
      </c>
      <c r="C662" t="n">
        <v>1745</v>
      </c>
      <c r="D662" t="n">
        <v>162</v>
      </c>
      <c r="E662" t="n">
        <v>4</v>
      </c>
      <c r="F662" t="n">
        <v>0.1236</v>
      </c>
      <c r="G662" s="30" t="n">
        <v>2.6e-05</v>
      </c>
      <c r="H662" s="14" t="n">
        <v>0.9998</v>
      </c>
      <c r="I662" t="n">
        <v>0.092837</v>
      </c>
      <c r="J662" t="n">
        <v>0.0247</v>
      </c>
      <c r="K662" t="n">
        <v>0.03089</v>
      </c>
      <c r="L662" t="n">
        <v>1.4003</v>
      </c>
      <c r="M662" t="n">
        <v>0.0211</v>
      </c>
      <c r="N662" t="n">
        <v>0.0296</v>
      </c>
      <c r="O662" t="inlineStr">
        <is>
          <t>WATCH</t>
        </is>
      </c>
    </row>
    <row r="663">
      <c r="A663" t="n">
        <v>73322</v>
      </c>
      <c r="B663" t="n">
        <v>662</v>
      </c>
      <c r="C663" t="n">
        <v>735</v>
      </c>
      <c r="D663" t="n">
        <v>222</v>
      </c>
      <c r="E663" t="n">
        <v>56</v>
      </c>
      <c r="F663" t="n">
        <v>0.115</v>
      </c>
      <c r="G663" s="30" t="n">
        <v>2.4e-05</v>
      </c>
      <c r="H663" s="14" t="n">
        <v>0.9998</v>
      </c>
      <c r="I663" t="n">
        <v>0.302041</v>
      </c>
      <c r="J663" t="n">
        <v>0.2523</v>
      </c>
      <c r="K663" t="n">
        <v>0.002054</v>
      </c>
      <c r="L663" t="n">
        <v>0.3732</v>
      </c>
      <c r="M663" t="n">
        <v>0.0452</v>
      </c>
      <c r="N663" t="n">
        <v>0.0169</v>
      </c>
      <c r="O663" t="inlineStr">
        <is>
          <t>GROW</t>
        </is>
      </c>
    </row>
    <row r="664">
      <c r="A664" t="n">
        <v>15518374</v>
      </c>
      <c r="B664" t="n">
        <v>663</v>
      </c>
      <c r="C664" t="n">
        <v>603</v>
      </c>
      <c r="D664" t="n">
        <v>216</v>
      </c>
      <c r="E664" t="n">
        <v>21</v>
      </c>
      <c r="F664" t="n">
        <v>0.115</v>
      </c>
      <c r="G664" s="30" t="n">
        <v>2.4e-05</v>
      </c>
      <c r="H664" s="14" t="n">
        <v>0.9998</v>
      </c>
      <c r="I664" t="n">
        <v>0.358209</v>
      </c>
      <c r="J664" t="n">
        <v>0.09719999999999999</v>
      </c>
      <c r="K664" t="n">
        <v>0.005478</v>
      </c>
      <c r="L664" t="n">
        <v>0.7161999999999999</v>
      </c>
      <c r="M664" t="n">
        <v>0.0257</v>
      </c>
      <c r="N664" t="n">
        <v>0.0184</v>
      </c>
      <c r="O664" t="inlineStr">
        <is>
          <t>GROW</t>
        </is>
      </c>
    </row>
    <row r="665">
      <c r="A665" t="n">
        <v>29531976</v>
      </c>
      <c r="B665" t="n">
        <v>664</v>
      </c>
      <c r="C665" t="n">
        <v>1487</v>
      </c>
      <c r="D665" t="n">
        <v>450</v>
      </c>
      <c r="E665" t="n">
        <v>247</v>
      </c>
      <c r="F665" t="n">
        <v>0.1137</v>
      </c>
      <c r="G665" s="30" t="n">
        <v>2.4e-05</v>
      </c>
      <c r="H665" s="14" t="n">
        <v>0.9999</v>
      </c>
      <c r="I665" t="n">
        <v>0.302623</v>
      </c>
      <c r="J665" t="n">
        <v>0.5489000000000001</v>
      </c>
      <c r="K665" t="n">
        <v>0.00046</v>
      </c>
      <c r="L665" t="n">
        <v>0.7064</v>
      </c>
      <c r="M665" t="n">
        <v>0.0262</v>
      </c>
      <c r="N665" t="n">
        <v>0.0185</v>
      </c>
      <c r="O665" t="inlineStr">
        <is>
          <t>GROW</t>
        </is>
      </c>
    </row>
    <row r="666">
      <c r="A666" t="n">
        <v>27009843</v>
      </c>
      <c r="B666" t="n">
        <v>665</v>
      </c>
      <c r="C666" t="n">
        <v>2906</v>
      </c>
      <c r="D666" t="n">
        <v>784</v>
      </c>
      <c r="E666" t="n">
        <v>18</v>
      </c>
      <c r="F666" t="n">
        <v>0.1038</v>
      </c>
      <c r="G666" s="30" t="n">
        <v>2.1e-05</v>
      </c>
      <c r="H666" s="14" t="n">
        <v>0.9999</v>
      </c>
      <c r="I666" t="n">
        <v>0.269787</v>
      </c>
      <c r="J666" t="n">
        <v>0.023</v>
      </c>
      <c r="K666" t="n">
        <v>0.005767</v>
      </c>
      <c r="L666" t="n">
        <v>0.5412</v>
      </c>
      <c r="M666" t="n">
        <v>0.0371</v>
      </c>
      <c r="N666" t="n">
        <v>0.0201</v>
      </c>
      <c r="O666" t="inlineStr">
        <is>
          <t>GROW</t>
        </is>
      </c>
    </row>
    <row r="667">
      <c r="A667" t="n">
        <v>16184514</v>
      </c>
      <c r="B667" t="n">
        <v>666</v>
      </c>
      <c r="C667" t="n">
        <v>634</v>
      </c>
      <c r="D667" t="n">
        <v>163</v>
      </c>
      <c r="E667" t="n">
        <v>22</v>
      </c>
      <c r="F667" t="n">
        <v>0.0982</v>
      </c>
      <c r="G667" s="30" t="n">
        <v>2e-05</v>
      </c>
      <c r="H667" s="14" t="n">
        <v>0.9999</v>
      </c>
      <c r="I667" t="n">
        <v>0.257098</v>
      </c>
      <c r="J667" t="n">
        <v>0.135</v>
      </c>
      <c r="K667" t="n">
        <v>0.004465</v>
      </c>
      <c r="L667" t="n">
        <v>0.7445000000000001</v>
      </c>
      <c r="M667" t="n">
        <v>0.0306</v>
      </c>
      <c r="N667" t="n">
        <v>0.0228</v>
      </c>
      <c r="O667" t="inlineStr">
        <is>
          <t>GROW</t>
        </is>
      </c>
    </row>
    <row r="668">
      <c r="A668" t="n">
        <v>28328731</v>
      </c>
      <c r="B668" t="n">
        <v>667</v>
      </c>
      <c r="C668" t="n">
        <v>1273</v>
      </c>
      <c r="D668" t="n">
        <v>126</v>
      </c>
      <c r="E668" t="n">
        <v>16</v>
      </c>
      <c r="F668" t="n">
        <v>0.0982</v>
      </c>
      <c r="G668" s="30" t="n">
        <v>2e-05</v>
      </c>
      <c r="H668" s="14" t="n">
        <v>0.9999</v>
      </c>
      <c r="I668" t="n">
        <v>0.098979</v>
      </c>
      <c r="J668" t="n">
        <v>0.127</v>
      </c>
      <c r="K668" t="n">
        <v>0.006139</v>
      </c>
      <c r="L668" t="n">
        <v>0.554</v>
      </c>
      <c r="M668" t="n">
        <v>0.0352</v>
      </c>
      <c r="N668" t="n">
        <v>0.0195</v>
      </c>
      <c r="O668" t="inlineStr">
        <is>
          <t>GROW</t>
        </is>
      </c>
    </row>
    <row r="669">
      <c r="A669" t="n">
        <v>30487330</v>
      </c>
      <c r="B669" t="n">
        <v>668</v>
      </c>
      <c r="C669" t="n">
        <v>2802</v>
      </c>
      <c r="D669" t="n">
        <v>1050</v>
      </c>
      <c r="E669" t="n">
        <v>119</v>
      </c>
      <c r="F669" t="n">
        <v>0.08459999999999999</v>
      </c>
      <c r="G669" s="30" t="n">
        <v>1.8e-05</v>
      </c>
      <c r="H669" s="14" t="n">
        <v>1</v>
      </c>
      <c r="I669" t="n">
        <v>0.374732</v>
      </c>
      <c r="J669" t="n">
        <v>0.1133</v>
      </c>
      <c r="K669" t="n">
        <v>0.000711</v>
      </c>
      <c r="L669" t="n">
        <v>0.6487000000000001</v>
      </c>
      <c r="M669" t="n">
        <v>0.0193</v>
      </c>
      <c r="N669" t="n">
        <v>0.0125</v>
      </c>
      <c r="O669" t="inlineStr">
        <is>
          <t>GROW</t>
        </is>
      </c>
    </row>
    <row r="670">
      <c r="A670" t="n">
        <v>21898401</v>
      </c>
      <c r="B670" t="n">
        <v>669</v>
      </c>
      <c r="C670" t="n">
        <v>245</v>
      </c>
      <c r="D670" t="n">
        <v>129</v>
      </c>
      <c r="E670" t="n">
        <v>12</v>
      </c>
      <c r="F670" t="n">
        <v>0.08450000000000001</v>
      </c>
      <c r="G670" s="30" t="n">
        <v>1.8e-05</v>
      </c>
      <c r="H670" s="14" t="n">
        <v>1</v>
      </c>
      <c r="I670" t="n">
        <v>0.526531</v>
      </c>
      <c r="J670" t="n">
        <v>0.093</v>
      </c>
      <c r="K670" t="n">
        <v>0.007043</v>
      </c>
      <c r="L670" t="n">
        <v>0.116</v>
      </c>
      <c r="M670" t="n">
        <v>0.0398</v>
      </c>
      <c r="N670" t="n">
        <v>0.0046</v>
      </c>
      <c r="O670" t="inlineStr">
        <is>
          <t>GROW</t>
        </is>
      </c>
    </row>
    <row r="671">
      <c r="A671" t="n">
        <v>13442454</v>
      </c>
      <c r="B671" t="n">
        <v>670</v>
      </c>
      <c r="C671" t="n">
        <v>635</v>
      </c>
      <c r="D671" t="n">
        <v>236</v>
      </c>
      <c r="E671" t="n">
        <v>21</v>
      </c>
      <c r="F671" t="n">
        <v>0.0554</v>
      </c>
      <c r="G671" s="30" t="n">
        <v>1.1e-05</v>
      </c>
      <c r="H671" s="14" t="n">
        <v>1</v>
      </c>
      <c r="I671" t="n">
        <v>0.371654</v>
      </c>
      <c r="J671" t="n">
        <v>0.089</v>
      </c>
      <c r="K671" t="n">
        <v>0.002638</v>
      </c>
      <c r="L671" t="n">
        <v>1.0225</v>
      </c>
      <c r="M671" t="n">
        <v>0.0121</v>
      </c>
      <c r="N671" t="n">
        <v>0.0124</v>
      </c>
      <c r="O671" t="inlineStr">
        <is>
          <t>GROW</t>
        </is>
      </c>
    </row>
    <row r="672">
      <c r="A672" t="n">
        <v>21443097</v>
      </c>
      <c r="B672" t="n">
        <v>671</v>
      </c>
      <c r="C672" t="n">
        <v>473</v>
      </c>
      <c r="D672" t="n">
        <v>146</v>
      </c>
      <c r="E672" t="n">
        <v>7</v>
      </c>
      <c r="F672" t="n">
        <v>0.0395</v>
      </c>
      <c r="G672" s="30" t="n">
        <v>8e-06</v>
      </c>
      <c r="H672" s="14" t="n">
        <v>1</v>
      </c>
      <c r="I672" t="n">
        <v>0.308668</v>
      </c>
      <c r="J672" t="n">
        <v>0.0479</v>
      </c>
      <c r="K672" t="n">
        <v>0.005648</v>
      </c>
      <c r="L672" t="n">
        <v>9.4217</v>
      </c>
      <c r="M672" t="n">
        <v>0.0013</v>
      </c>
      <c r="N672" t="n">
        <v>0.0126</v>
      </c>
      <c r="O672" t="inlineStr">
        <is>
          <t>GROW</t>
        </is>
      </c>
    </row>
    <row r="673">
      <c r="A673" t="n">
        <v>31427832</v>
      </c>
      <c r="B673" t="n">
        <v>672</v>
      </c>
      <c r="C673" t="n">
        <v>210</v>
      </c>
      <c r="D673" t="n">
        <v>58</v>
      </c>
      <c r="E673" t="n">
        <v>15</v>
      </c>
      <c r="F673" t="n">
        <v>0.0286</v>
      </c>
      <c r="G673" s="30" t="n">
        <v>6e-06</v>
      </c>
      <c r="H673" s="14" t="n">
        <v>1</v>
      </c>
      <c r="I673" t="n">
        <v>0.27619</v>
      </c>
      <c r="J673" t="n">
        <v>0.2586</v>
      </c>
      <c r="K673" t="n">
        <v>0.001905</v>
      </c>
      <c r="L673" t="n">
        <v>4.3237</v>
      </c>
      <c r="M673" t="n">
        <v>0.0016</v>
      </c>
      <c r="N673" t="n">
        <v>0.0071</v>
      </c>
      <c r="O673" t="inlineStr">
        <is>
          <t>GROW</t>
        </is>
      </c>
    </row>
    <row r="674">
      <c r="A674" t="n">
        <v>20443097</v>
      </c>
      <c r="B674" t="n">
        <v>673</v>
      </c>
      <c r="C674" t="n">
        <v>207</v>
      </c>
      <c r="D674" t="n">
        <v>50</v>
      </c>
      <c r="E674" t="n">
        <v>2</v>
      </c>
      <c r="F674" t="n">
        <v>0.013</v>
      </c>
      <c r="G674" s="30" t="n">
        <v>3e-06</v>
      </c>
      <c r="H674" s="14" t="n">
        <v>1</v>
      </c>
      <c r="I674" t="n">
        <v>0.241546</v>
      </c>
      <c r="J674" t="n">
        <v>0.04</v>
      </c>
      <c r="K674" t="n">
        <v>0.006499</v>
      </c>
      <c r="L674" t="n">
        <v>0.9631999999999999</v>
      </c>
      <c r="M674" t="n">
        <v>0.0026</v>
      </c>
      <c r="N674" t="n">
        <v>0.0025</v>
      </c>
      <c r="O674" t="inlineStr">
        <is>
          <t>GROW</t>
        </is>
      </c>
    </row>
    <row r="675">
      <c r="A675" t="n">
        <v>13442441</v>
      </c>
      <c r="B675" t="n">
        <v>674</v>
      </c>
      <c r="C675" t="n">
        <v>127</v>
      </c>
      <c r="D675" t="n">
        <v>24</v>
      </c>
      <c r="E675" t="n">
        <v>1</v>
      </c>
      <c r="F675" t="n">
        <v>0.0068</v>
      </c>
      <c r="G675" s="30" t="n">
        <v>1e-06</v>
      </c>
      <c r="H675" s="14" t="n">
        <v>1</v>
      </c>
      <c r="I675" t="n">
        <v>0.188976</v>
      </c>
      <c r="J675" t="n">
        <v>0.0417</v>
      </c>
      <c r="K675" t="n">
        <v>0.006762</v>
      </c>
      <c r="L675" t="n">
        <v>0.6435999999999999</v>
      </c>
      <c r="M675" t="n">
        <v>0.0017</v>
      </c>
      <c r="N675" t="n">
        <v>0.0011</v>
      </c>
      <c r="O675" t="inlineStr">
        <is>
          <t>GROW</t>
        </is>
      </c>
    </row>
    <row r="676">
      <c r="A676" t="n">
        <v>13442456</v>
      </c>
      <c r="B676" t="n">
        <v>675</v>
      </c>
      <c r="C676" t="n">
        <v>20</v>
      </c>
      <c r="D676" t="n">
        <v>7</v>
      </c>
      <c r="E676" t="n">
        <v>1</v>
      </c>
      <c r="F676" t="n">
        <v>0.0021</v>
      </c>
      <c r="G676" s="30" t="n">
        <v>0</v>
      </c>
      <c r="H676" s="14" t="n">
        <v>1</v>
      </c>
      <c r="I676" t="n">
        <v>0.35</v>
      </c>
      <c r="J676" t="n">
        <v>0.1429</v>
      </c>
      <c r="K676" t="n">
        <v>0.002094</v>
      </c>
      <c r="L676" t="n">
        <v>4.8733</v>
      </c>
      <c r="M676" t="n">
        <v>0.0002</v>
      </c>
      <c r="N676" t="n">
        <v>0.0008</v>
      </c>
      <c r="O676" t="inlineStr">
        <is>
          <t>GROW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16" customWidth="1" min="4" max="4"/>
    <col width="17" customWidth="1" min="5" max="5"/>
    <col width="17" customWidth="1" min="6" max="6"/>
    <col width="19" customWidth="1" min="7" max="7"/>
    <col width="21" customWidth="1" min="8" max="8"/>
    <col width="21" customWidth="1" min="9" max="9"/>
    <col width="19" customWidth="1" min="10" max="10"/>
    <col width="16" customWidth="1" min="11" max="11"/>
    <col width="23" customWidth="1" min="12" max="12"/>
  </cols>
  <sheetData>
    <row r="1">
      <c r="A1" s="12" t="inlineStr">
        <is>
          <t>exchange</t>
        </is>
      </c>
      <c r="B1" s="12" t="inlineStr">
        <is>
          <t>min_floor_fen_cpm</t>
        </is>
      </c>
      <c r="C1" s="12" t="inlineStr">
        <is>
          <t>impressions</t>
        </is>
      </c>
      <c r="D1" s="12" t="inlineStr">
        <is>
          <t>at_risk_imps</t>
        </is>
      </c>
      <c r="E1" s="12" t="inlineStr">
        <is>
          <t>can_sell_at_x</t>
        </is>
      </c>
      <c r="F1" s="12" t="inlineStr">
        <is>
          <t>share_at_risk</t>
        </is>
      </c>
      <c r="G1" s="12" t="inlineStr">
        <is>
          <t>revenue_now_cny</t>
        </is>
      </c>
      <c r="H1" s="12" t="inlineStr">
        <is>
          <t>revenue_lower_cny</t>
        </is>
      </c>
      <c r="I1" s="12" t="inlineStr">
        <is>
          <t>revenue_upper_cny</t>
        </is>
      </c>
      <c r="J1" s="12" t="inlineStr">
        <is>
          <t>revenue_r50_cny</t>
        </is>
      </c>
      <c r="K1" s="12" t="inlineStr">
        <is>
          <t>upper_change</t>
        </is>
      </c>
      <c r="L1" s="12" t="inlineStr">
        <is>
          <t>breakeven_retention</t>
        </is>
      </c>
    </row>
    <row r="2">
      <c r="A2" t="inlineStr">
        <is>
          <t>All</t>
        </is>
      </c>
      <c r="B2" t="n">
        <v>0</v>
      </c>
      <c r="C2" t="n">
        <v>4724634</v>
      </c>
      <c r="D2" t="n">
        <v>0</v>
      </c>
      <c r="E2" t="n">
        <v>0</v>
      </c>
      <c r="F2" t="n">
        <v>0</v>
      </c>
      <c r="G2" t="n">
        <v>4253.82</v>
      </c>
      <c r="H2" t="n">
        <v>4253.82</v>
      </c>
      <c r="I2" t="n">
        <v>4253.82</v>
      </c>
      <c r="J2" t="n">
        <v>4253.82</v>
      </c>
      <c r="K2" t="n">
        <v>0</v>
      </c>
    </row>
    <row r="3">
      <c r="A3" t="inlineStr">
        <is>
          <t>All</t>
        </is>
      </c>
      <c r="B3" t="n">
        <v>10</v>
      </c>
      <c r="C3" t="n">
        <v>4724634</v>
      </c>
      <c r="D3" t="n">
        <v>343546</v>
      </c>
      <c r="E3" t="n">
        <v>343546</v>
      </c>
      <c r="F3" t="n">
        <v>0.0727</v>
      </c>
      <c r="G3" t="n">
        <v>4253.82</v>
      </c>
      <c r="H3" t="n">
        <v>4235.39</v>
      </c>
      <c r="I3" t="n">
        <v>4269.74</v>
      </c>
      <c r="J3" t="n">
        <v>4252.56</v>
      </c>
      <c r="K3" t="n">
        <v>0.0037</v>
      </c>
      <c r="L3" t="n">
        <v>0.5367</v>
      </c>
    </row>
    <row r="4">
      <c r="A4" t="inlineStr">
        <is>
          <t>All</t>
        </is>
      </c>
      <c r="B4" t="n">
        <v>20</v>
      </c>
      <c r="C4" t="n">
        <v>4724634</v>
      </c>
      <c r="D4" t="n">
        <v>651540</v>
      </c>
      <c r="E4" t="n">
        <v>651540</v>
      </c>
      <c r="F4" t="n">
        <v>0.1379</v>
      </c>
      <c r="G4" t="n">
        <v>4253.82</v>
      </c>
      <c r="H4" t="n">
        <v>4191.81</v>
      </c>
      <c r="I4" t="n">
        <v>4322.12</v>
      </c>
      <c r="J4" t="n">
        <v>4256.96</v>
      </c>
      <c r="K4" t="n">
        <v>0.0161</v>
      </c>
      <c r="L4" t="n">
        <v>0.4759</v>
      </c>
    </row>
    <row r="5">
      <c r="A5" t="inlineStr">
        <is>
          <t>All</t>
        </is>
      </c>
      <c r="B5" t="n">
        <v>30</v>
      </c>
      <c r="C5" t="n">
        <v>4724634</v>
      </c>
      <c r="D5" t="n">
        <v>1164522</v>
      </c>
      <c r="E5" t="n">
        <v>1164522</v>
      </c>
      <c r="F5" t="n">
        <v>0.2465</v>
      </c>
      <c r="G5" t="n">
        <v>4253.82</v>
      </c>
      <c r="H5" t="n">
        <v>4076.85</v>
      </c>
      <c r="I5" t="n">
        <v>4426.21</v>
      </c>
      <c r="J5" t="n">
        <v>4251.53</v>
      </c>
      <c r="K5" t="n">
        <v>0.0405</v>
      </c>
      <c r="L5" t="n">
        <v>0.5066000000000001</v>
      </c>
    </row>
    <row r="6">
      <c r="A6" t="inlineStr">
        <is>
          <t>All</t>
        </is>
      </c>
      <c r="B6" t="n">
        <v>40</v>
      </c>
      <c r="C6" t="n">
        <v>4724634</v>
      </c>
      <c r="D6" t="n">
        <v>1628770</v>
      </c>
      <c r="E6" t="n">
        <v>1628770</v>
      </c>
      <c r="F6" t="n">
        <v>0.3447</v>
      </c>
      <c r="G6" t="n">
        <v>4253.82</v>
      </c>
      <c r="H6" t="n">
        <v>3924.18</v>
      </c>
      <c r="I6" t="n">
        <v>4575.69</v>
      </c>
      <c r="J6" t="n">
        <v>4249.93</v>
      </c>
      <c r="K6" t="n">
        <v>0.0757</v>
      </c>
      <c r="L6" t="n">
        <v>0.506</v>
      </c>
    </row>
    <row r="7">
      <c r="A7" t="inlineStr">
        <is>
          <t>All</t>
        </is>
      </c>
      <c r="B7" t="n">
        <v>50</v>
      </c>
      <c r="C7" t="n">
        <v>4724634</v>
      </c>
      <c r="D7" t="n">
        <v>1855204</v>
      </c>
      <c r="E7" t="n">
        <v>1855204</v>
      </c>
      <c r="F7" t="n">
        <v>0.3927</v>
      </c>
      <c r="G7" t="n">
        <v>4253.82</v>
      </c>
      <c r="H7" t="n">
        <v>3824.49</v>
      </c>
      <c r="I7" t="n">
        <v>4752.09</v>
      </c>
      <c r="J7" t="n">
        <v>4288.29</v>
      </c>
      <c r="K7" t="n">
        <v>0.1171</v>
      </c>
      <c r="L7" t="n">
        <v>0.4628</v>
      </c>
    </row>
    <row r="8">
      <c r="A8" t="inlineStr">
        <is>
          <t>All</t>
        </is>
      </c>
      <c r="B8" t="n">
        <v>60</v>
      </c>
      <c r="C8" t="n">
        <v>4724634</v>
      </c>
      <c r="D8" t="n">
        <v>2189630</v>
      </c>
      <c r="E8" t="n">
        <v>2189630</v>
      </c>
      <c r="F8" t="n">
        <v>0.4634</v>
      </c>
      <c r="G8" t="n">
        <v>4253.82</v>
      </c>
      <c r="H8" t="n">
        <v>3648.23</v>
      </c>
      <c r="I8" t="n">
        <v>4962.01</v>
      </c>
      <c r="J8" t="n">
        <v>4305.12</v>
      </c>
      <c r="K8" t="n">
        <v>0.1665</v>
      </c>
      <c r="L8" t="n">
        <v>0.461</v>
      </c>
    </row>
    <row r="9">
      <c r="A9" t="inlineStr">
        <is>
          <t>All</t>
        </is>
      </c>
      <c r="B9" t="n">
        <v>70</v>
      </c>
      <c r="C9" t="n">
        <v>4724634</v>
      </c>
      <c r="D9" t="n">
        <v>2385068</v>
      </c>
      <c r="E9" t="n">
        <v>2385068</v>
      </c>
      <c r="F9" t="n">
        <v>0.5048</v>
      </c>
      <c r="G9" t="n">
        <v>4253.82</v>
      </c>
      <c r="H9" t="n">
        <v>3522.82</v>
      </c>
      <c r="I9" t="n">
        <v>5192.36</v>
      </c>
      <c r="J9" t="n">
        <v>4357.59</v>
      </c>
      <c r="K9" t="n">
        <v>0.2206</v>
      </c>
      <c r="L9" t="n">
        <v>0.4378</v>
      </c>
    </row>
    <row r="10">
      <c r="A10" t="inlineStr">
        <is>
          <t>All</t>
        </is>
      </c>
      <c r="B10" t="n">
        <v>80</v>
      </c>
      <c r="C10" t="n">
        <v>4724634</v>
      </c>
      <c r="D10" t="n">
        <v>2677835</v>
      </c>
      <c r="E10" t="n">
        <v>2677835</v>
      </c>
      <c r="F10" t="n">
        <v>0.5668</v>
      </c>
      <c r="G10" t="n">
        <v>4253.82</v>
      </c>
      <c r="H10" t="n">
        <v>3311.16</v>
      </c>
      <c r="I10" t="n">
        <v>5453.43</v>
      </c>
      <c r="J10" t="n">
        <v>4382.3</v>
      </c>
      <c r="K10" t="n">
        <v>0.282</v>
      </c>
      <c r="L10" t="n">
        <v>0.44</v>
      </c>
    </row>
    <row r="11">
      <c r="A11" t="inlineStr">
        <is>
          <t>All</t>
        </is>
      </c>
      <c r="B11" t="n">
        <v>90</v>
      </c>
      <c r="C11" t="n">
        <v>4724634</v>
      </c>
      <c r="D11" t="n">
        <v>2838593</v>
      </c>
      <c r="E11" t="n">
        <v>2838593</v>
      </c>
      <c r="F11" t="n">
        <v>0.6008</v>
      </c>
      <c r="G11" t="n">
        <v>4253.82</v>
      </c>
      <c r="H11" t="n">
        <v>3176.3</v>
      </c>
      <c r="I11" t="n">
        <v>5731.04</v>
      </c>
      <c r="J11" t="n">
        <v>4453.67</v>
      </c>
      <c r="K11" t="n">
        <v>0.3473</v>
      </c>
      <c r="L11" t="n">
        <v>0.4218</v>
      </c>
    </row>
    <row r="12">
      <c r="A12" t="inlineStr">
        <is>
          <t>All</t>
        </is>
      </c>
      <c r="B12" t="n">
        <v>100</v>
      </c>
      <c r="C12" t="n">
        <v>4724634</v>
      </c>
      <c r="D12" t="n">
        <v>2954446</v>
      </c>
      <c r="E12" t="n">
        <v>2954446</v>
      </c>
      <c r="F12" t="n">
        <v>0.6253</v>
      </c>
      <c r="G12" t="n">
        <v>4253.82</v>
      </c>
      <c r="H12" t="n">
        <v>3067.41</v>
      </c>
      <c r="I12" t="n">
        <v>6021.85</v>
      </c>
      <c r="J12" t="n">
        <v>4544.63</v>
      </c>
      <c r="K12" t="n">
        <v>0.4156</v>
      </c>
      <c r="L12" t="n">
        <v>0.4016</v>
      </c>
    </row>
    <row r="13">
      <c r="A13" t="inlineStr">
        <is>
          <t>All</t>
        </is>
      </c>
      <c r="B13" t="n">
        <v>110</v>
      </c>
      <c r="C13" t="n">
        <v>4724634</v>
      </c>
      <c r="D13" t="n">
        <v>3182697</v>
      </c>
      <c r="E13" t="n">
        <v>3182697</v>
      </c>
      <c r="F13" t="n">
        <v>0.6736</v>
      </c>
      <c r="G13" t="n">
        <v>4253.82</v>
      </c>
      <c r="H13" t="n">
        <v>2833.33</v>
      </c>
      <c r="I13" t="n">
        <v>6334.29</v>
      </c>
      <c r="J13" t="n">
        <v>4583.81</v>
      </c>
      <c r="K13" t="n">
        <v>0.4891</v>
      </c>
      <c r="L13" t="n">
        <v>0.4057</v>
      </c>
    </row>
    <row r="14">
      <c r="A14" t="inlineStr">
        <is>
          <t>All</t>
        </is>
      </c>
      <c r="B14" t="n">
        <v>120</v>
      </c>
      <c r="C14" t="n">
        <v>4724634</v>
      </c>
      <c r="D14" t="n">
        <v>3276995</v>
      </c>
      <c r="E14" t="n">
        <v>3276995</v>
      </c>
      <c r="F14" t="n">
        <v>0.6936</v>
      </c>
      <c r="G14" t="n">
        <v>4253.82</v>
      </c>
      <c r="H14" t="n">
        <v>2725.83</v>
      </c>
      <c r="I14" t="n">
        <v>6658.22</v>
      </c>
      <c r="J14" t="n">
        <v>4692.02</v>
      </c>
      <c r="K14" t="n">
        <v>0.5652</v>
      </c>
      <c r="L14" t="n">
        <v>0.3886</v>
      </c>
    </row>
    <row r="15">
      <c r="A15" t="inlineStr">
        <is>
          <t>All</t>
        </is>
      </c>
      <c r="B15" t="n">
        <v>130</v>
      </c>
      <c r="C15" t="n">
        <v>4724634</v>
      </c>
      <c r="D15" t="n">
        <v>3374051</v>
      </c>
      <c r="E15" t="n">
        <v>3374051</v>
      </c>
      <c r="F15" t="n">
        <v>0.7141</v>
      </c>
      <c r="G15" t="n">
        <v>4253.82</v>
      </c>
      <c r="H15" t="n">
        <v>2605.42</v>
      </c>
      <c r="I15" t="n">
        <v>6991.69</v>
      </c>
      <c r="J15" t="n">
        <v>4798.56</v>
      </c>
      <c r="K15" t="n">
        <v>0.6435999999999999</v>
      </c>
      <c r="L15" t="n">
        <v>0.3758</v>
      </c>
    </row>
    <row r="16">
      <c r="A16" t="inlineStr">
        <is>
          <t>All</t>
        </is>
      </c>
      <c r="B16" t="n">
        <v>140</v>
      </c>
      <c r="C16" t="n">
        <v>4724634</v>
      </c>
      <c r="D16" t="n">
        <v>3461064</v>
      </c>
      <c r="E16" t="n">
        <v>3461064</v>
      </c>
      <c r="F16" t="n">
        <v>0.7326</v>
      </c>
      <c r="G16" t="n">
        <v>4253.82</v>
      </c>
      <c r="H16" t="n">
        <v>2488.68</v>
      </c>
      <c r="I16" t="n">
        <v>7334.17</v>
      </c>
      <c r="J16" t="n">
        <v>4911.43</v>
      </c>
      <c r="K16" t="n">
        <v>0.7241</v>
      </c>
      <c r="L16" t="n">
        <v>0.3643</v>
      </c>
    </row>
    <row r="17">
      <c r="A17" t="inlineStr">
        <is>
          <t>All</t>
        </is>
      </c>
      <c r="B17" t="n">
        <v>150</v>
      </c>
      <c r="C17" t="n">
        <v>4724634</v>
      </c>
      <c r="D17" t="n">
        <v>3600236</v>
      </c>
      <c r="E17" t="n">
        <v>3600236</v>
      </c>
      <c r="F17" t="n">
        <v>0.762</v>
      </c>
      <c r="G17" t="n">
        <v>4253.82</v>
      </c>
      <c r="H17" t="n">
        <v>2287.58</v>
      </c>
      <c r="I17" t="n">
        <v>7687.93</v>
      </c>
      <c r="J17" t="n">
        <v>4987.75</v>
      </c>
      <c r="K17" t="n">
        <v>0.8073</v>
      </c>
      <c r="L17" t="n">
        <v>0.3641</v>
      </c>
    </row>
    <row r="18">
      <c r="A18" t="inlineStr">
        <is>
          <t>Exchange 1</t>
        </is>
      </c>
      <c r="B18" t="n">
        <v>0</v>
      </c>
      <c r="C18" t="n">
        <v>1167364</v>
      </c>
      <c r="D18" t="n">
        <v>0</v>
      </c>
      <c r="E18" t="n">
        <v>0</v>
      </c>
      <c r="F18" t="n">
        <v>0</v>
      </c>
      <c r="G18" t="n">
        <v>1193.8</v>
      </c>
      <c r="H18" t="n">
        <v>1193.8</v>
      </c>
      <c r="I18" t="n">
        <v>1193.8</v>
      </c>
      <c r="J18" t="n">
        <v>1193.8</v>
      </c>
      <c r="K18" t="n">
        <v>0</v>
      </c>
    </row>
    <row r="19">
      <c r="A19" t="inlineStr">
        <is>
          <t>Exchange 1</t>
        </is>
      </c>
      <c r="B19" t="n">
        <v>10</v>
      </c>
      <c r="C19" t="n">
        <v>1167364</v>
      </c>
      <c r="D19" t="n">
        <v>44159</v>
      </c>
      <c r="E19" t="n">
        <v>44159</v>
      </c>
      <c r="F19" t="n">
        <v>0.0378</v>
      </c>
      <c r="G19" t="n">
        <v>1193.8</v>
      </c>
      <c r="H19" t="n">
        <v>1191.94</v>
      </c>
      <c r="I19" t="n">
        <v>1196.36</v>
      </c>
      <c r="J19" t="n">
        <v>1194.15</v>
      </c>
      <c r="K19" t="n">
        <v>0.0021</v>
      </c>
      <c r="L19" t="n">
        <v>0.4197</v>
      </c>
    </row>
    <row r="20">
      <c r="A20" t="inlineStr">
        <is>
          <t>Exchange 1</t>
        </is>
      </c>
      <c r="B20" t="n">
        <v>20</v>
      </c>
      <c r="C20" t="n">
        <v>1167364</v>
      </c>
      <c r="D20" t="n">
        <v>127808</v>
      </c>
      <c r="E20" t="n">
        <v>127808</v>
      </c>
      <c r="F20" t="n">
        <v>0.1095</v>
      </c>
      <c r="G20" t="n">
        <v>1193.8</v>
      </c>
      <c r="H20" t="n">
        <v>1179.58</v>
      </c>
      <c r="I20" t="n">
        <v>1205.15</v>
      </c>
      <c r="J20" t="n">
        <v>1192.36</v>
      </c>
      <c r="K20" t="n">
        <v>0.0095</v>
      </c>
      <c r="L20" t="n">
        <v>0.5561</v>
      </c>
    </row>
    <row r="21">
      <c r="A21" t="inlineStr">
        <is>
          <t>Exchange 1</t>
        </is>
      </c>
      <c r="B21" t="n">
        <v>30</v>
      </c>
      <c r="C21" t="n">
        <v>1167364</v>
      </c>
      <c r="D21" t="n">
        <v>222257</v>
      </c>
      <c r="E21" t="n">
        <v>222257</v>
      </c>
      <c r="F21" t="n">
        <v>0.1904</v>
      </c>
      <c r="G21" t="n">
        <v>1193.8</v>
      </c>
      <c r="H21" t="n">
        <v>1156.29</v>
      </c>
      <c r="I21" t="n">
        <v>1222.97</v>
      </c>
      <c r="J21" t="n">
        <v>1189.63</v>
      </c>
      <c r="K21" t="n">
        <v>0.0244</v>
      </c>
      <c r="L21" t="n">
        <v>0.5625</v>
      </c>
    </row>
    <row r="22">
      <c r="A22" t="inlineStr">
        <is>
          <t>Exchange 1</t>
        </is>
      </c>
      <c r="B22" t="n">
        <v>40</v>
      </c>
      <c r="C22" t="n">
        <v>1167364</v>
      </c>
      <c r="D22" t="n">
        <v>320015</v>
      </c>
      <c r="E22" t="n">
        <v>320015</v>
      </c>
      <c r="F22" t="n">
        <v>0.2741</v>
      </c>
      <c r="G22" t="n">
        <v>1193.8</v>
      </c>
      <c r="H22" t="n">
        <v>1122.89</v>
      </c>
      <c r="I22" t="n">
        <v>1250.9</v>
      </c>
      <c r="J22" t="n">
        <v>1186.9</v>
      </c>
      <c r="K22" t="n">
        <v>0.0478</v>
      </c>
      <c r="L22" t="n">
        <v>0.5538999999999999</v>
      </c>
    </row>
    <row r="23">
      <c r="A23" t="inlineStr">
        <is>
          <t>Exchange 1</t>
        </is>
      </c>
      <c r="B23" t="n">
        <v>50</v>
      </c>
      <c r="C23" t="n">
        <v>1167364</v>
      </c>
      <c r="D23" t="n">
        <v>388414</v>
      </c>
      <c r="E23" t="n">
        <v>388414</v>
      </c>
      <c r="F23" t="n">
        <v>0.3327</v>
      </c>
      <c r="G23" t="n">
        <v>1193.8</v>
      </c>
      <c r="H23" t="n">
        <v>1092.51</v>
      </c>
      <c r="I23" t="n">
        <v>1286.71</v>
      </c>
      <c r="J23" t="n">
        <v>1189.61</v>
      </c>
      <c r="K23" t="n">
        <v>0.07779999999999999</v>
      </c>
      <c r="L23" t="n">
        <v>0.5216</v>
      </c>
    </row>
    <row r="24">
      <c r="A24" t="inlineStr">
        <is>
          <t>Exchange 1</t>
        </is>
      </c>
      <c r="B24" t="n">
        <v>60</v>
      </c>
      <c r="C24" t="n">
        <v>1167364</v>
      </c>
      <c r="D24" t="n">
        <v>477355</v>
      </c>
      <c r="E24" t="n">
        <v>477355</v>
      </c>
      <c r="F24" t="n">
        <v>0.4089</v>
      </c>
      <c r="G24" t="n">
        <v>1193.8</v>
      </c>
      <c r="H24" t="n">
        <v>1045.28</v>
      </c>
      <c r="I24" t="n">
        <v>1331.7</v>
      </c>
      <c r="J24" t="n">
        <v>1188.49</v>
      </c>
      <c r="K24" t="n">
        <v>0.1155</v>
      </c>
      <c r="L24" t="n">
        <v>0.5185</v>
      </c>
    </row>
    <row r="25">
      <c r="A25" t="inlineStr">
        <is>
          <t>Exchange 1</t>
        </is>
      </c>
      <c r="B25" t="n">
        <v>70</v>
      </c>
      <c r="C25" t="n">
        <v>1167364</v>
      </c>
      <c r="D25" t="n">
        <v>534109</v>
      </c>
      <c r="E25" t="n">
        <v>534109</v>
      </c>
      <c r="F25" t="n">
        <v>0.4575</v>
      </c>
      <c r="G25" t="n">
        <v>1193.8</v>
      </c>
      <c r="H25" t="n">
        <v>1009.02</v>
      </c>
      <c r="I25" t="n">
        <v>1382.89</v>
      </c>
      <c r="J25" t="n">
        <v>1195.96</v>
      </c>
      <c r="K25" t="n">
        <v>0.1584</v>
      </c>
      <c r="L25" t="n">
        <v>0.4942</v>
      </c>
    </row>
    <row r="26">
      <c r="A26" t="inlineStr">
        <is>
          <t>Exchange 1</t>
        </is>
      </c>
      <c r="B26" t="n">
        <v>80</v>
      </c>
      <c r="C26" t="n">
        <v>1167364</v>
      </c>
      <c r="D26" t="n">
        <v>580718</v>
      </c>
      <c r="E26" t="n">
        <v>580718</v>
      </c>
      <c r="F26" t="n">
        <v>0.4975</v>
      </c>
      <c r="G26" t="n">
        <v>1193.8</v>
      </c>
      <c r="H26" t="n">
        <v>974.6900000000001</v>
      </c>
      <c r="I26" t="n">
        <v>1439.27</v>
      </c>
      <c r="J26" t="n">
        <v>1206.98</v>
      </c>
      <c r="K26" t="n">
        <v>0.2056</v>
      </c>
      <c r="L26" t="n">
        <v>0.4716</v>
      </c>
    </row>
    <row r="27">
      <c r="A27" t="inlineStr">
        <is>
          <t>Exchange 1</t>
        </is>
      </c>
      <c r="B27" t="n">
        <v>90</v>
      </c>
      <c r="C27" t="n">
        <v>1167364</v>
      </c>
      <c r="D27" t="n">
        <v>623698</v>
      </c>
      <c r="E27" t="n">
        <v>623698</v>
      </c>
      <c r="F27" t="n">
        <v>0.5343</v>
      </c>
      <c r="G27" t="n">
        <v>1193.8</v>
      </c>
      <c r="H27" t="n">
        <v>938.78</v>
      </c>
      <c r="I27" t="n">
        <v>1500.1</v>
      </c>
      <c r="J27" t="n">
        <v>1219.44</v>
      </c>
      <c r="K27" t="n">
        <v>0.2566</v>
      </c>
      <c r="L27" t="n">
        <v>0.4543</v>
      </c>
    </row>
    <row r="28">
      <c r="A28" t="inlineStr">
        <is>
          <t>Exchange 1</t>
        </is>
      </c>
      <c r="B28" t="n">
        <v>100</v>
      </c>
      <c r="C28" t="n">
        <v>1167364</v>
      </c>
      <c r="D28" t="n">
        <v>652020</v>
      </c>
      <c r="E28" t="n">
        <v>652020</v>
      </c>
      <c r="F28" t="n">
        <v>0.5585</v>
      </c>
      <c r="G28" t="n">
        <v>1193.8</v>
      </c>
      <c r="H28" t="n">
        <v>912.24</v>
      </c>
      <c r="I28" t="n">
        <v>1564.26</v>
      </c>
      <c r="J28" t="n">
        <v>1238.25</v>
      </c>
      <c r="K28" t="n">
        <v>0.3103</v>
      </c>
      <c r="L28" t="n">
        <v>0.4318</v>
      </c>
    </row>
    <row r="29">
      <c r="A29" t="inlineStr">
        <is>
          <t>Exchange 1</t>
        </is>
      </c>
      <c r="B29" t="n">
        <v>110</v>
      </c>
      <c r="C29" t="n">
        <v>1167364</v>
      </c>
      <c r="D29" t="n">
        <v>742488</v>
      </c>
      <c r="E29" t="n">
        <v>742488</v>
      </c>
      <c r="F29" t="n">
        <v>0.636</v>
      </c>
      <c r="G29" t="n">
        <v>1193.8</v>
      </c>
      <c r="H29" t="n">
        <v>819.89</v>
      </c>
      <c r="I29" t="n">
        <v>1636.63</v>
      </c>
      <c r="J29" t="n">
        <v>1228.26</v>
      </c>
      <c r="K29" t="n">
        <v>0.3709</v>
      </c>
      <c r="L29" t="n">
        <v>0.4578</v>
      </c>
    </row>
    <row r="30">
      <c r="A30" t="inlineStr">
        <is>
          <t>Exchange 1</t>
        </is>
      </c>
      <c r="B30" t="n">
        <v>120</v>
      </c>
      <c r="C30" t="n">
        <v>1167364</v>
      </c>
      <c r="D30" t="n">
        <v>770608</v>
      </c>
      <c r="E30" t="n">
        <v>770608</v>
      </c>
      <c r="F30" t="n">
        <v>0.6601</v>
      </c>
      <c r="G30" t="n">
        <v>1193.8</v>
      </c>
      <c r="H30" t="n">
        <v>787.95</v>
      </c>
      <c r="I30" t="n">
        <v>1712.68</v>
      </c>
      <c r="J30" t="n">
        <v>1250.32</v>
      </c>
      <c r="K30" t="n">
        <v>0.4347</v>
      </c>
      <c r="L30" t="n">
        <v>0.4389</v>
      </c>
    </row>
    <row r="31">
      <c r="A31" t="inlineStr">
        <is>
          <t>Exchange 1</t>
        </is>
      </c>
      <c r="B31" t="n">
        <v>130</v>
      </c>
      <c r="C31" t="n">
        <v>1167364</v>
      </c>
      <c r="D31" t="n">
        <v>804026</v>
      </c>
      <c r="E31" t="n">
        <v>804026</v>
      </c>
      <c r="F31" t="n">
        <v>0.6888</v>
      </c>
      <c r="G31" t="n">
        <v>1193.8</v>
      </c>
      <c r="H31" t="n">
        <v>746.48</v>
      </c>
      <c r="I31" t="n">
        <v>1791.72</v>
      </c>
      <c r="J31" t="n">
        <v>1269.1</v>
      </c>
      <c r="K31" t="n">
        <v>0.5009</v>
      </c>
      <c r="L31" t="n">
        <v>0.428</v>
      </c>
    </row>
    <row r="32">
      <c r="A32" t="inlineStr">
        <is>
          <t>Exchange 1</t>
        </is>
      </c>
      <c r="B32" t="n">
        <v>140</v>
      </c>
      <c r="C32" t="n">
        <v>1167364</v>
      </c>
      <c r="D32" t="n">
        <v>825234</v>
      </c>
      <c r="E32" t="n">
        <v>825234</v>
      </c>
      <c r="F32" t="n">
        <v>0.7069</v>
      </c>
      <c r="G32" t="n">
        <v>1193.8</v>
      </c>
      <c r="H32" t="n">
        <v>717.9299999999999</v>
      </c>
      <c r="I32" t="n">
        <v>1873.25</v>
      </c>
      <c r="J32" t="n">
        <v>1295.59</v>
      </c>
      <c r="K32" t="n">
        <v>0.5692</v>
      </c>
      <c r="L32" t="n">
        <v>0.4119</v>
      </c>
    </row>
    <row r="33">
      <c r="A33" t="inlineStr">
        <is>
          <t>Exchange 1</t>
        </is>
      </c>
      <c r="B33" t="n">
        <v>150</v>
      </c>
      <c r="C33" t="n">
        <v>1167364</v>
      </c>
      <c r="D33" t="n">
        <v>846711</v>
      </c>
      <c r="E33" t="n">
        <v>846711</v>
      </c>
      <c r="F33" t="n">
        <v>0.7252999999999999</v>
      </c>
      <c r="G33" t="n">
        <v>1193.8</v>
      </c>
      <c r="H33" t="n">
        <v>687.0599999999999</v>
      </c>
      <c r="I33" t="n">
        <v>1957.13</v>
      </c>
      <c r="J33" t="n">
        <v>1322.1</v>
      </c>
      <c r="K33" t="n">
        <v>0.6394</v>
      </c>
      <c r="L33" t="n">
        <v>0.399</v>
      </c>
    </row>
    <row r="34">
      <c r="A34" t="inlineStr">
        <is>
          <t>Exchange 2</t>
        </is>
      </c>
      <c r="B34" t="n">
        <v>0</v>
      </c>
      <c r="C34" t="n">
        <v>1301471</v>
      </c>
      <c r="D34" t="n">
        <v>0</v>
      </c>
      <c r="E34" t="n">
        <v>0</v>
      </c>
      <c r="F34" t="n">
        <v>0</v>
      </c>
      <c r="G34" t="n">
        <v>1126.37</v>
      </c>
      <c r="H34" t="n">
        <v>1126.37</v>
      </c>
      <c r="I34" t="n">
        <v>1126.37</v>
      </c>
      <c r="J34" t="n">
        <v>1126.37</v>
      </c>
      <c r="K34" t="n">
        <v>0</v>
      </c>
    </row>
    <row r="35">
      <c r="A35" t="inlineStr">
        <is>
          <t>Exchange 2</t>
        </is>
      </c>
      <c r="B35" t="n">
        <v>10</v>
      </c>
      <c r="C35" t="n">
        <v>1301471</v>
      </c>
      <c r="D35" t="n">
        <v>167502</v>
      </c>
      <c r="E35" t="n">
        <v>167502</v>
      </c>
      <c r="F35" t="n">
        <v>0.1287</v>
      </c>
      <c r="G35" t="n">
        <v>1126.37</v>
      </c>
      <c r="H35" t="n">
        <v>1116.72</v>
      </c>
      <c r="I35" t="n">
        <v>1133.47</v>
      </c>
      <c r="J35" t="n">
        <v>1125.09</v>
      </c>
      <c r="K35" t="n">
        <v>0.0063</v>
      </c>
      <c r="L35" t="n">
        <v>0.5766</v>
      </c>
    </row>
    <row r="36">
      <c r="A36" t="inlineStr">
        <is>
          <t>Exchange 2</t>
        </is>
      </c>
      <c r="B36" t="n">
        <v>20</v>
      </c>
      <c r="C36" t="n">
        <v>1301471</v>
      </c>
      <c r="D36" t="n">
        <v>285058</v>
      </c>
      <c r="E36" t="n">
        <v>285058</v>
      </c>
      <c r="F36" t="n">
        <v>0.219</v>
      </c>
      <c r="G36" t="n">
        <v>1126.37</v>
      </c>
      <c r="H36" t="n">
        <v>1100.51</v>
      </c>
      <c r="I36" t="n">
        <v>1157.52</v>
      </c>
      <c r="J36" t="n">
        <v>1129.02</v>
      </c>
      <c r="K36" t="n">
        <v>0.0277</v>
      </c>
      <c r="L36" t="n">
        <v>0.4537</v>
      </c>
    </row>
    <row r="37">
      <c r="A37" t="inlineStr">
        <is>
          <t>Exchange 2</t>
        </is>
      </c>
      <c r="B37" t="n">
        <v>30</v>
      </c>
      <c r="C37" t="n">
        <v>1301471</v>
      </c>
      <c r="D37" t="n">
        <v>372654</v>
      </c>
      <c r="E37" t="n">
        <v>372654</v>
      </c>
      <c r="F37" t="n">
        <v>0.2863</v>
      </c>
      <c r="G37" t="n">
        <v>1126.37</v>
      </c>
      <c r="H37" t="n">
        <v>1079.52</v>
      </c>
      <c r="I37" t="n">
        <v>1191.31</v>
      </c>
      <c r="J37" t="n">
        <v>1135.41</v>
      </c>
      <c r="K37" t="n">
        <v>0.0577</v>
      </c>
      <c r="L37" t="n">
        <v>0.4191</v>
      </c>
    </row>
    <row r="38">
      <c r="A38" t="inlineStr">
        <is>
          <t>Exchange 2</t>
        </is>
      </c>
      <c r="B38" t="n">
        <v>40</v>
      </c>
      <c r="C38" t="n">
        <v>1301471</v>
      </c>
      <c r="D38" t="n">
        <v>444430</v>
      </c>
      <c r="E38" t="n">
        <v>444430</v>
      </c>
      <c r="F38" t="n">
        <v>0.3415</v>
      </c>
      <c r="G38" t="n">
        <v>1126.37</v>
      </c>
      <c r="H38" t="n">
        <v>1055.3</v>
      </c>
      <c r="I38" t="n">
        <v>1233.07</v>
      </c>
      <c r="J38" t="n">
        <v>1144.19</v>
      </c>
      <c r="K38" t="n">
        <v>0.09470000000000001</v>
      </c>
      <c r="L38" t="n">
        <v>0.3998</v>
      </c>
    </row>
    <row r="39">
      <c r="A39" t="inlineStr">
        <is>
          <t>Exchange 2</t>
        </is>
      </c>
      <c r="B39" t="n">
        <v>50</v>
      </c>
      <c r="C39" t="n">
        <v>1301471</v>
      </c>
      <c r="D39" t="n">
        <v>498548</v>
      </c>
      <c r="E39" t="n">
        <v>498548</v>
      </c>
      <c r="F39" t="n">
        <v>0.3831</v>
      </c>
      <c r="G39" t="n">
        <v>1126.37</v>
      </c>
      <c r="H39" t="n">
        <v>1031.28</v>
      </c>
      <c r="I39" t="n">
        <v>1280.56</v>
      </c>
      <c r="J39" t="n">
        <v>1155.92</v>
      </c>
      <c r="K39" t="n">
        <v>0.1369</v>
      </c>
      <c r="L39" t="n">
        <v>0.3815</v>
      </c>
    </row>
    <row r="40">
      <c r="A40" t="inlineStr">
        <is>
          <t>Exchange 2</t>
        </is>
      </c>
      <c r="B40" t="n">
        <v>60</v>
      </c>
      <c r="C40" t="n">
        <v>1301471</v>
      </c>
      <c r="D40" t="n">
        <v>584783</v>
      </c>
      <c r="E40" t="n">
        <v>584783</v>
      </c>
      <c r="F40" t="n">
        <v>0.4493</v>
      </c>
      <c r="G40" t="n">
        <v>1126.37</v>
      </c>
      <c r="H40" t="n">
        <v>985.0700000000001</v>
      </c>
      <c r="I40" t="n">
        <v>1335.94</v>
      </c>
      <c r="J40" t="n">
        <v>1160.51</v>
      </c>
      <c r="K40" t="n">
        <v>0.1861</v>
      </c>
      <c r="L40" t="n">
        <v>0.4027</v>
      </c>
    </row>
    <row r="41">
      <c r="A41" t="inlineStr">
        <is>
          <t>Exchange 2</t>
        </is>
      </c>
      <c r="B41" t="n">
        <v>70</v>
      </c>
      <c r="C41" t="n">
        <v>1301471</v>
      </c>
      <c r="D41" t="n">
        <v>661018</v>
      </c>
      <c r="E41" t="n">
        <v>661018</v>
      </c>
      <c r="F41" t="n">
        <v>0.5079</v>
      </c>
      <c r="G41" t="n">
        <v>1126.37</v>
      </c>
      <c r="H41" t="n">
        <v>936.13</v>
      </c>
      <c r="I41" t="n">
        <v>1398.84</v>
      </c>
      <c r="J41" t="n">
        <v>1167.49</v>
      </c>
      <c r="K41" t="n">
        <v>0.2419</v>
      </c>
      <c r="L41" t="n">
        <v>0.4112</v>
      </c>
    </row>
    <row r="42">
      <c r="A42" t="inlineStr">
        <is>
          <t>Exchange 2</t>
        </is>
      </c>
      <c r="B42" t="n">
        <v>80</v>
      </c>
      <c r="C42" t="n">
        <v>1301471</v>
      </c>
      <c r="D42" t="n">
        <v>703162</v>
      </c>
      <c r="E42" t="n">
        <v>703162</v>
      </c>
      <c r="F42" t="n">
        <v>0.5403</v>
      </c>
      <c r="G42" t="n">
        <v>1126.37</v>
      </c>
      <c r="H42" t="n">
        <v>904.86</v>
      </c>
      <c r="I42" t="n">
        <v>1467.39</v>
      </c>
      <c r="J42" t="n">
        <v>1186.13</v>
      </c>
      <c r="K42" t="n">
        <v>0.3028</v>
      </c>
      <c r="L42" t="n">
        <v>0.3938</v>
      </c>
    </row>
    <row r="43">
      <c r="A43" t="inlineStr">
        <is>
          <t>Exchange 2</t>
        </is>
      </c>
      <c r="B43" t="n">
        <v>90</v>
      </c>
      <c r="C43" t="n">
        <v>1301471</v>
      </c>
      <c r="D43" t="n">
        <v>753472</v>
      </c>
      <c r="E43" t="n">
        <v>753472</v>
      </c>
      <c r="F43" t="n">
        <v>0.5789</v>
      </c>
      <c r="G43" t="n">
        <v>1126.37</v>
      </c>
      <c r="H43" t="n">
        <v>862.25</v>
      </c>
      <c r="I43" t="n">
        <v>1540.37</v>
      </c>
      <c r="J43" t="n">
        <v>1201.31</v>
      </c>
      <c r="K43" t="n">
        <v>0.3675</v>
      </c>
      <c r="L43" t="n">
        <v>0.3895</v>
      </c>
    </row>
    <row r="44">
      <c r="A44" t="inlineStr">
        <is>
          <t>Exchange 2</t>
        </is>
      </c>
      <c r="B44" t="n">
        <v>100</v>
      </c>
      <c r="C44" t="n">
        <v>1301471</v>
      </c>
      <c r="D44" t="n">
        <v>798916</v>
      </c>
      <c r="E44" t="n">
        <v>798916</v>
      </c>
      <c r="F44" t="n">
        <v>0.6139</v>
      </c>
      <c r="G44" t="n">
        <v>1126.37</v>
      </c>
      <c r="H44" t="n">
        <v>819.61</v>
      </c>
      <c r="I44" t="n">
        <v>1618.53</v>
      </c>
      <c r="J44" t="n">
        <v>1219.07</v>
      </c>
      <c r="K44" t="n">
        <v>0.4369</v>
      </c>
      <c r="L44" t="n">
        <v>0.384</v>
      </c>
    </row>
    <row r="45">
      <c r="A45" t="inlineStr">
        <is>
          <t>Exchange 2</t>
        </is>
      </c>
      <c r="B45" t="n">
        <v>110</v>
      </c>
      <c r="C45" t="n">
        <v>1301471</v>
      </c>
      <c r="D45" t="n">
        <v>861400</v>
      </c>
      <c r="E45" t="n">
        <v>861400</v>
      </c>
      <c r="F45" t="n">
        <v>0.6619</v>
      </c>
      <c r="G45" t="n">
        <v>1126.37</v>
      </c>
      <c r="H45" t="n">
        <v>755.73</v>
      </c>
      <c r="I45" t="n">
        <v>1703.27</v>
      </c>
      <c r="J45" t="n">
        <v>1229.5</v>
      </c>
      <c r="K45" t="n">
        <v>0.5122</v>
      </c>
      <c r="L45" t="n">
        <v>0.3912</v>
      </c>
    </row>
    <row r="46">
      <c r="A46" t="inlineStr">
        <is>
          <t>Exchange 2</t>
        </is>
      </c>
      <c r="B46" t="n">
        <v>120</v>
      </c>
      <c r="C46" t="n">
        <v>1301471</v>
      </c>
      <c r="D46" t="n">
        <v>889104</v>
      </c>
      <c r="E46" t="n">
        <v>889104</v>
      </c>
      <c r="F46" t="n">
        <v>0.6832</v>
      </c>
      <c r="G46" t="n">
        <v>1126.37</v>
      </c>
      <c r="H46" t="n">
        <v>724.25</v>
      </c>
      <c r="I46" t="n">
        <v>1791.17</v>
      </c>
      <c r="J46" t="n">
        <v>1257.71</v>
      </c>
      <c r="K46" t="n">
        <v>0.5901999999999999</v>
      </c>
      <c r="L46" t="n">
        <v>0.3769</v>
      </c>
    </row>
    <row r="47">
      <c r="A47" t="inlineStr">
        <is>
          <t>Exchange 2</t>
        </is>
      </c>
      <c r="B47" t="n">
        <v>130</v>
      </c>
      <c r="C47" t="n">
        <v>1301471</v>
      </c>
      <c r="D47" t="n">
        <v>917114</v>
      </c>
      <c r="E47" t="n">
        <v>917114</v>
      </c>
      <c r="F47" t="n">
        <v>0.7047</v>
      </c>
      <c r="G47" t="n">
        <v>1126.37</v>
      </c>
      <c r="H47" t="n">
        <v>689.58</v>
      </c>
      <c r="I47" t="n">
        <v>1881.82</v>
      </c>
      <c r="J47" t="n">
        <v>1285.7</v>
      </c>
      <c r="K47" t="n">
        <v>0.6707</v>
      </c>
      <c r="L47" t="n">
        <v>0.3664</v>
      </c>
    </row>
    <row r="48">
      <c r="A48" t="inlineStr">
        <is>
          <t>Exchange 2</t>
        </is>
      </c>
      <c r="B48" t="n">
        <v>140</v>
      </c>
      <c r="C48" t="n">
        <v>1301471</v>
      </c>
      <c r="D48" t="n">
        <v>950726</v>
      </c>
      <c r="E48" t="n">
        <v>950726</v>
      </c>
      <c r="F48" t="n">
        <v>0.7305</v>
      </c>
      <c r="G48" t="n">
        <v>1126.37</v>
      </c>
      <c r="H48" t="n">
        <v>644.63</v>
      </c>
      <c r="I48" t="n">
        <v>1975.64</v>
      </c>
      <c r="J48" t="n">
        <v>1310.14</v>
      </c>
      <c r="K48" t="n">
        <v>0.754</v>
      </c>
      <c r="L48" t="n">
        <v>0.3619</v>
      </c>
    </row>
    <row r="49">
      <c r="A49" t="inlineStr">
        <is>
          <t>Exchange 2</t>
        </is>
      </c>
      <c r="B49" t="n">
        <v>150</v>
      </c>
      <c r="C49" t="n">
        <v>1301471</v>
      </c>
      <c r="D49" t="n">
        <v>1021302</v>
      </c>
      <c r="E49" t="n">
        <v>1021302</v>
      </c>
      <c r="F49" t="n">
        <v>0.7847</v>
      </c>
      <c r="G49" t="n">
        <v>1126.37</v>
      </c>
      <c r="H49" t="n">
        <v>542.45</v>
      </c>
      <c r="I49" t="n">
        <v>2074.4</v>
      </c>
      <c r="J49" t="n">
        <v>1308.43</v>
      </c>
      <c r="K49" t="n">
        <v>0.8417</v>
      </c>
      <c r="L49" t="n">
        <v>0.3812</v>
      </c>
    </row>
    <row r="50">
      <c r="A50" t="inlineStr">
        <is>
          <t>Exchange 3</t>
        </is>
      </c>
      <c r="B50" t="n">
        <v>0</v>
      </c>
      <c r="C50" t="n">
        <v>1090548</v>
      </c>
      <c r="D50" t="n">
        <v>0</v>
      </c>
      <c r="E50" t="n">
        <v>0</v>
      </c>
      <c r="F50" t="n">
        <v>0</v>
      </c>
      <c r="G50" t="n">
        <v>1185.09</v>
      </c>
      <c r="H50" t="n">
        <v>1185.09</v>
      </c>
      <c r="I50" t="n">
        <v>1185.09</v>
      </c>
      <c r="J50" t="n">
        <v>1185.09</v>
      </c>
      <c r="K50" t="n">
        <v>0</v>
      </c>
    </row>
    <row r="51">
      <c r="A51" t="inlineStr">
        <is>
          <t>Exchange 3</t>
        </is>
      </c>
      <c r="B51" t="n">
        <v>10</v>
      </c>
      <c r="C51" t="n">
        <v>1090548</v>
      </c>
      <c r="D51" t="n">
        <v>10822</v>
      </c>
      <c r="E51" t="n">
        <v>10822</v>
      </c>
      <c r="F51" t="n">
        <v>0.009900000000000001</v>
      </c>
      <c r="G51" t="n">
        <v>1185.09</v>
      </c>
      <c r="H51" t="n">
        <v>1184.84</v>
      </c>
      <c r="I51" t="n">
        <v>1185.93</v>
      </c>
      <c r="J51" t="n">
        <v>1185.38</v>
      </c>
      <c r="K51" t="n">
        <v>0.0007</v>
      </c>
      <c r="L51" t="n">
        <v>0.2281</v>
      </c>
    </row>
    <row r="52">
      <c r="A52" t="inlineStr">
        <is>
          <t>Exchange 3</t>
        </is>
      </c>
      <c r="B52" t="n">
        <v>20</v>
      </c>
      <c r="C52" t="n">
        <v>1090548</v>
      </c>
      <c r="D52" t="n">
        <v>24527</v>
      </c>
      <c r="E52" t="n">
        <v>24527</v>
      </c>
      <c r="F52" t="n">
        <v>0.0225</v>
      </c>
      <c r="G52" t="n">
        <v>1185.09</v>
      </c>
      <c r="H52" t="n">
        <v>1183.35</v>
      </c>
      <c r="I52" t="n">
        <v>1188.25</v>
      </c>
      <c r="J52" t="n">
        <v>1185.8</v>
      </c>
      <c r="K52" t="n">
        <v>0.0027</v>
      </c>
      <c r="L52" t="n">
        <v>0.3549</v>
      </c>
    </row>
    <row r="53">
      <c r="A53" t="inlineStr">
        <is>
          <t>Exchange 3</t>
        </is>
      </c>
      <c r="B53" t="n">
        <v>30</v>
      </c>
      <c r="C53" t="n">
        <v>1090548</v>
      </c>
      <c r="D53" t="n">
        <v>263482</v>
      </c>
      <c r="E53" t="n">
        <v>263482</v>
      </c>
      <c r="F53" t="n">
        <v>0.2416</v>
      </c>
      <c r="G53" t="n">
        <v>1185.09</v>
      </c>
      <c r="H53" t="n">
        <v>1135.2</v>
      </c>
      <c r="I53" t="n">
        <v>1214.25</v>
      </c>
      <c r="J53" t="n">
        <v>1174.72</v>
      </c>
      <c r="K53" t="n">
        <v>0.0246</v>
      </c>
      <c r="L53" t="n">
        <v>0.6312</v>
      </c>
    </row>
    <row r="54">
      <c r="A54" t="inlineStr">
        <is>
          <t>Exchange 3</t>
        </is>
      </c>
      <c r="B54" t="n">
        <v>40</v>
      </c>
      <c r="C54" t="n">
        <v>1090548</v>
      </c>
      <c r="D54" t="n">
        <v>277674</v>
      </c>
      <c r="E54" t="n">
        <v>277674</v>
      </c>
      <c r="F54" t="n">
        <v>0.2546</v>
      </c>
      <c r="G54" t="n">
        <v>1185.09</v>
      </c>
      <c r="H54" t="n">
        <v>1130.62</v>
      </c>
      <c r="I54" t="n">
        <v>1241.69</v>
      </c>
      <c r="J54" t="n">
        <v>1186.16</v>
      </c>
      <c r="K54" t="n">
        <v>0.0478</v>
      </c>
      <c r="L54" t="n">
        <v>0.4904</v>
      </c>
    </row>
    <row r="55">
      <c r="A55" t="inlineStr">
        <is>
          <t>Exchange 3</t>
        </is>
      </c>
      <c r="B55" t="n">
        <v>50</v>
      </c>
      <c r="C55" t="n">
        <v>1090548</v>
      </c>
      <c r="D55" t="n">
        <v>298962</v>
      </c>
      <c r="E55" t="n">
        <v>298962</v>
      </c>
      <c r="F55" t="n">
        <v>0.2741</v>
      </c>
      <c r="G55" t="n">
        <v>1185.09</v>
      </c>
      <c r="H55" t="n">
        <v>1121.75</v>
      </c>
      <c r="I55" t="n">
        <v>1271.23</v>
      </c>
      <c r="J55" t="n">
        <v>1196.49</v>
      </c>
      <c r="K55" t="n">
        <v>0.0727</v>
      </c>
      <c r="L55" t="n">
        <v>0.4237</v>
      </c>
    </row>
    <row r="56">
      <c r="A56" t="inlineStr">
        <is>
          <t>Exchange 3</t>
        </is>
      </c>
      <c r="B56" t="n">
        <v>60</v>
      </c>
      <c r="C56" t="n">
        <v>1090548</v>
      </c>
      <c r="D56" t="n">
        <v>394250</v>
      </c>
      <c r="E56" t="n">
        <v>394250</v>
      </c>
      <c r="F56" t="n">
        <v>0.3615</v>
      </c>
      <c r="G56" t="n">
        <v>1185.09</v>
      </c>
      <c r="H56" t="n">
        <v>1073.67</v>
      </c>
      <c r="I56" t="n">
        <v>1310.22</v>
      </c>
      <c r="J56" t="n">
        <v>1191.94</v>
      </c>
      <c r="K56" t="n">
        <v>0.1056</v>
      </c>
      <c r="L56" t="n">
        <v>0.471</v>
      </c>
    </row>
    <row r="57">
      <c r="A57" t="inlineStr">
        <is>
          <t>Exchange 3</t>
        </is>
      </c>
      <c r="B57" t="n">
        <v>70</v>
      </c>
      <c r="C57" t="n">
        <v>1090548</v>
      </c>
      <c r="D57" t="n">
        <v>403046</v>
      </c>
      <c r="E57" t="n">
        <v>403046</v>
      </c>
      <c r="F57" t="n">
        <v>0.3696</v>
      </c>
      <c r="G57" t="n">
        <v>1185.09</v>
      </c>
      <c r="H57" t="n">
        <v>1067.98</v>
      </c>
      <c r="I57" t="n">
        <v>1350.11</v>
      </c>
      <c r="J57" t="n">
        <v>1209.05</v>
      </c>
      <c r="K57" t="n">
        <v>0.1392</v>
      </c>
      <c r="L57" t="n">
        <v>0.4151</v>
      </c>
    </row>
    <row r="58">
      <c r="A58" t="inlineStr">
        <is>
          <t>Exchange 3</t>
        </is>
      </c>
      <c r="B58" t="n">
        <v>80</v>
      </c>
      <c r="C58" t="n">
        <v>1090548</v>
      </c>
      <c r="D58" t="n">
        <v>548866</v>
      </c>
      <c r="E58" t="n">
        <v>548866</v>
      </c>
      <c r="F58" t="n">
        <v>0.5033</v>
      </c>
      <c r="G58" t="n">
        <v>1185.09</v>
      </c>
      <c r="H58" t="n">
        <v>965.4299999999999</v>
      </c>
      <c r="I58" t="n">
        <v>1404.52</v>
      </c>
      <c r="J58" t="n">
        <v>1184.97</v>
      </c>
      <c r="K58" t="n">
        <v>0.1852</v>
      </c>
      <c r="L58" t="n">
        <v>0.5003</v>
      </c>
    </row>
    <row r="59">
      <c r="A59" t="inlineStr">
        <is>
          <t>Exchange 3</t>
        </is>
      </c>
      <c r="B59" t="n">
        <v>90</v>
      </c>
      <c r="C59" t="n">
        <v>1090548</v>
      </c>
      <c r="D59" t="n">
        <v>574852</v>
      </c>
      <c r="E59" t="n">
        <v>574852</v>
      </c>
      <c r="F59" t="n">
        <v>0.5271</v>
      </c>
      <c r="G59" t="n">
        <v>1185.09</v>
      </c>
      <c r="H59" t="n">
        <v>943.97</v>
      </c>
      <c r="I59" t="n">
        <v>1461.34</v>
      </c>
      <c r="J59" t="n">
        <v>1202.66</v>
      </c>
      <c r="K59" t="n">
        <v>0.2331</v>
      </c>
      <c r="L59" t="n">
        <v>0.466</v>
      </c>
    </row>
    <row r="60">
      <c r="A60" t="inlineStr">
        <is>
          <t>Exchange 3</t>
        </is>
      </c>
      <c r="B60" t="n">
        <v>100</v>
      </c>
      <c r="C60" t="n">
        <v>1090548</v>
      </c>
      <c r="D60" t="n">
        <v>586832</v>
      </c>
      <c r="E60" t="n">
        <v>586832</v>
      </c>
      <c r="F60" t="n">
        <v>0.5381</v>
      </c>
      <c r="G60" t="n">
        <v>1185.09</v>
      </c>
      <c r="H60" t="n">
        <v>932.66</v>
      </c>
      <c r="I60" t="n">
        <v>1519.49</v>
      </c>
      <c r="J60" t="n">
        <v>1226.08</v>
      </c>
      <c r="K60" t="n">
        <v>0.2822</v>
      </c>
      <c r="L60" t="n">
        <v>0.4302</v>
      </c>
    </row>
    <row r="61">
      <c r="A61" t="inlineStr">
        <is>
          <t>Exchange 3</t>
        </is>
      </c>
      <c r="B61" t="n">
        <v>110</v>
      </c>
      <c r="C61" t="n">
        <v>1090548</v>
      </c>
      <c r="D61" t="n">
        <v>619989</v>
      </c>
      <c r="E61" t="n">
        <v>619989</v>
      </c>
      <c r="F61" t="n">
        <v>0.5685</v>
      </c>
      <c r="G61" t="n">
        <v>1185.09</v>
      </c>
      <c r="H61" t="n">
        <v>898.92</v>
      </c>
      <c r="I61" t="n">
        <v>1580.91</v>
      </c>
      <c r="J61" t="n">
        <v>1239.91</v>
      </c>
      <c r="K61" t="n">
        <v>0.334</v>
      </c>
      <c r="L61" t="n">
        <v>0.4196</v>
      </c>
    </row>
    <row r="62">
      <c r="A62" t="inlineStr">
        <is>
          <t>Exchange 3</t>
        </is>
      </c>
      <c r="B62" t="n">
        <v>120</v>
      </c>
      <c r="C62" t="n">
        <v>1090548</v>
      </c>
      <c r="D62" t="n">
        <v>633688</v>
      </c>
      <c r="E62" t="n">
        <v>633688</v>
      </c>
      <c r="F62" t="n">
        <v>0.5810999999999999</v>
      </c>
      <c r="G62" t="n">
        <v>1185.09</v>
      </c>
      <c r="H62" t="n">
        <v>883.24</v>
      </c>
      <c r="I62" t="n">
        <v>1643.67</v>
      </c>
      <c r="J62" t="n">
        <v>1263.46</v>
      </c>
      <c r="K62" t="n">
        <v>0.387</v>
      </c>
      <c r="L62" t="n">
        <v>0.3969</v>
      </c>
    </row>
    <row r="63">
      <c r="A63" t="inlineStr">
        <is>
          <t>Exchange 3</t>
        </is>
      </c>
      <c r="B63" t="n">
        <v>130</v>
      </c>
      <c r="C63" t="n">
        <v>1090548</v>
      </c>
      <c r="D63" t="n">
        <v>649307</v>
      </c>
      <c r="E63" t="n">
        <v>649307</v>
      </c>
      <c r="F63" t="n">
        <v>0.5954</v>
      </c>
      <c r="G63" t="n">
        <v>1185.09</v>
      </c>
      <c r="H63" t="n">
        <v>863.87</v>
      </c>
      <c r="I63" t="n">
        <v>1707.97</v>
      </c>
      <c r="J63" t="n">
        <v>1285.92</v>
      </c>
      <c r="K63" t="n">
        <v>0.4412</v>
      </c>
      <c r="L63" t="n">
        <v>0.3805</v>
      </c>
    </row>
    <row r="64">
      <c r="A64" t="inlineStr">
        <is>
          <t>Exchange 3</t>
        </is>
      </c>
      <c r="B64" t="n">
        <v>140</v>
      </c>
      <c r="C64" t="n">
        <v>1090548</v>
      </c>
      <c r="D64" t="n">
        <v>662750</v>
      </c>
      <c r="E64" t="n">
        <v>662750</v>
      </c>
      <c r="F64" t="n">
        <v>0.6077</v>
      </c>
      <c r="G64" t="n">
        <v>1185.09</v>
      </c>
      <c r="H64" t="n">
        <v>845.8</v>
      </c>
      <c r="I64" t="n">
        <v>1773.65</v>
      </c>
      <c r="J64" t="n">
        <v>1309.72</v>
      </c>
      <c r="K64" t="n">
        <v>0.4966</v>
      </c>
      <c r="L64" t="n">
        <v>0.3657</v>
      </c>
    </row>
    <row r="65">
      <c r="A65" t="inlineStr">
        <is>
          <t>Exchange 3</t>
        </is>
      </c>
      <c r="B65" t="n">
        <v>150</v>
      </c>
      <c r="C65" t="n">
        <v>1090548</v>
      </c>
      <c r="D65" t="n">
        <v>686610</v>
      </c>
      <c r="E65" t="n">
        <v>686610</v>
      </c>
      <c r="F65" t="n">
        <v>0.6296</v>
      </c>
      <c r="G65" t="n">
        <v>1185.09</v>
      </c>
      <c r="H65" t="n">
        <v>811.13</v>
      </c>
      <c r="I65" t="n">
        <v>1841.05</v>
      </c>
      <c r="J65" t="n">
        <v>1326.09</v>
      </c>
      <c r="K65" t="n">
        <v>0.5535</v>
      </c>
      <c r="L65" t="n">
        <v>0.3631</v>
      </c>
    </row>
    <row r="66">
      <c r="A66" t="inlineStr">
        <is>
          <t>Exchange 4</t>
        </is>
      </c>
      <c r="B66" t="n">
        <v>0</v>
      </c>
      <c r="C66" t="n">
        <v>697830</v>
      </c>
      <c r="D66" t="n">
        <v>0</v>
      </c>
      <c r="E66" t="n">
        <v>0</v>
      </c>
      <c r="F66" t="n">
        <v>0</v>
      </c>
      <c r="G66" t="n">
        <v>466.14</v>
      </c>
      <c r="H66" t="n">
        <v>466.14</v>
      </c>
      <c r="I66" t="n">
        <v>466.14</v>
      </c>
      <c r="J66" t="n">
        <v>466.14</v>
      </c>
      <c r="K66" t="n">
        <v>0</v>
      </c>
    </row>
    <row r="67">
      <c r="A67" t="inlineStr">
        <is>
          <t>Exchange 4</t>
        </is>
      </c>
      <c r="B67" t="n">
        <v>10</v>
      </c>
      <c r="C67" t="n">
        <v>697830</v>
      </c>
      <c r="D67" t="n">
        <v>35730</v>
      </c>
      <c r="E67" t="n">
        <v>35730</v>
      </c>
      <c r="F67" t="n">
        <v>0.0512</v>
      </c>
      <c r="G67" t="n">
        <v>466.14</v>
      </c>
      <c r="H67" t="n">
        <v>464.82</v>
      </c>
      <c r="I67" t="n">
        <v>468.4</v>
      </c>
      <c r="J67" t="n">
        <v>466.61</v>
      </c>
      <c r="K67" t="n">
        <v>0.0048</v>
      </c>
      <c r="L67" t="n">
        <v>0.3673</v>
      </c>
    </row>
    <row r="68">
      <c r="A68" t="inlineStr">
        <is>
          <t>Exchange 4</t>
        </is>
      </c>
      <c r="B68" t="n">
        <v>20</v>
      </c>
      <c r="C68" t="n">
        <v>697830</v>
      </c>
      <c r="D68" t="n">
        <v>76671</v>
      </c>
      <c r="E68" t="n">
        <v>76671</v>
      </c>
      <c r="F68" t="n">
        <v>0.1099</v>
      </c>
      <c r="G68" t="n">
        <v>466.14</v>
      </c>
      <c r="H68" t="n">
        <v>458.79</v>
      </c>
      <c r="I68" t="n">
        <v>474.12</v>
      </c>
      <c r="J68" t="n">
        <v>466.45</v>
      </c>
      <c r="K68" t="n">
        <v>0.0171</v>
      </c>
      <c r="L68" t="n">
        <v>0.4794</v>
      </c>
    </row>
    <row r="69">
      <c r="A69" t="inlineStr">
        <is>
          <t>Exchange 4</t>
        </is>
      </c>
      <c r="B69" t="n">
        <v>30</v>
      </c>
      <c r="C69" t="n">
        <v>697830</v>
      </c>
      <c r="D69" t="n">
        <v>122520</v>
      </c>
      <c r="E69" t="n">
        <v>122520</v>
      </c>
      <c r="F69" t="n">
        <v>0.1756</v>
      </c>
      <c r="G69" t="n">
        <v>466.14</v>
      </c>
      <c r="H69" t="n">
        <v>447.52</v>
      </c>
      <c r="I69" t="n">
        <v>484.27</v>
      </c>
      <c r="J69" t="n">
        <v>465.9</v>
      </c>
      <c r="K69" t="n">
        <v>0.0389</v>
      </c>
      <c r="L69" t="n">
        <v>0.5066000000000001</v>
      </c>
    </row>
    <row r="70">
      <c r="A70" t="inlineStr">
        <is>
          <t>Exchange 4</t>
        </is>
      </c>
      <c r="B70" t="n">
        <v>40</v>
      </c>
      <c r="C70" t="n">
        <v>697830</v>
      </c>
      <c r="D70" t="n">
        <v>347214</v>
      </c>
      <c r="E70" t="n">
        <v>347214</v>
      </c>
      <c r="F70" t="n">
        <v>0.4976</v>
      </c>
      <c r="G70" t="n">
        <v>466.14</v>
      </c>
      <c r="H70" t="n">
        <v>375.59</v>
      </c>
      <c r="I70" t="n">
        <v>514.48</v>
      </c>
      <c r="J70" t="n">
        <v>445.04</v>
      </c>
      <c r="K70" t="n">
        <v>0.1037</v>
      </c>
      <c r="L70" t="n">
        <v>0.6519</v>
      </c>
    </row>
    <row r="71">
      <c r="A71" t="inlineStr">
        <is>
          <t>Exchange 4</t>
        </is>
      </c>
      <c r="B71" t="n">
        <v>50</v>
      </c>
      <c r="C71" t="n">
        <v>697830</v>
      </c>
      <c r="D71" t="n">
        <v>396096</v>
      </c>
      <c r="E71" t="n">
        <v>396096</v>
      </c>
      <c r="F71" t="n">
        <v>0.5676</v>
      </c>
      <c r="G71" t="n">
        <v>466.14</v>
      </c>
      <c r="H71" t="n">
        <v>354.13</v>
      </c>
      <c r="I71" t="n">
        <v>552.1799999999999</v>
      </c>
      <c r="J71" t="n">
        <v>453.16</v>
      </c>
      <c r="K71" t="n">
        <v>0.1846</v>
      </c>
      <c r="L71" t="n">
        <v>0.5655</v>
      </c>
    </row>
    <row r="72">
      <c r="A72" t="inlineStr">
        <is>
          <t>Exchange 4</t>
        </is>
      </c>
      <c r="B72" t="n">
        <v>60</v>
      </c>
      <c r="C72" t="n">
        <v>697830</v>
      </c>
      <c r="D72" t="n">
        <v>432832</v>
      </c>
      <c r="E72" t="n">
        <v>432832</v>
      </c>
      <c r="F72" t="n">
        <v>0.6203</v>
      </c>
      <c r="G72" t="n">
        <v>466.14</v>
      </c>
      <c r="H72" t="n">
        <v>334.18</v>
      </c>
      <c r="I72" t="n">
        <v>593.87</v>
      </c>
      <c r="J72" t="n">
        <v>464.03</v>
      </c>
      <c r="K72" t="n">
        <v>0.274</v>
      </c>
      <c r="L72" t="n">
        <v>0.5081</v>
      </c>
    </row>
    <row r="73">
      <c r="A73" t="inlineStr">
        <is>
          <t>Exchange 4</t>
        </is>
      </c>
      <c r="B73" t="n">
        <v>70</v>
      </c>
      <c r="C73" t="n">
        <v>697830</v>
      </c>
      <c r="D73" t="n">
        <v>462065</v>
      </c>
      <c r="E73" t="n">
        <v>462065</v>
      </c>
      <c r="F73" t="n">
        <v>0.6621</v>
      </c>
      <c r="G73" t="n">
        <v>466.14</v>
      </c>
      <c r="H73" t="n">
        <v>315.35</v>
      </c>
      <c r="I73" t="n">
        <v>638.79</v>
      </c>
      <c r="J73" t="n">
        <v>477.07</v>
      </c>
      <c r="K73" t="n">
        <v>0.3704</v>
      </c>
      <c r="L73" t="n">
        <v>0.4662</v>
      </c>
    </row>
    <row r="74">
      <c r="A74" t="inlineStr">
        <is>
          <t>Exchange 4</t>
        </is>
      </c>
      <c r="B74" t="n">
        <v>80</v>
      </c>
      <c r="C74" t="n">
        <v>697830</v>
      </c>
      <c r="D74" t="n">
        <v>501996</v>
      </c>
      <c r="E74" t="n">
        <v>501996</v>
      </c>
      <c r="F74" t="n">
        <v>0.7194</v>
      </c>
      <c r="G74" t="n">
        <v>466.14</v>
      </c>
      <c r="H74" t="n">
        <v>285.42</v>
      </c>
      <c r="I74" t="n">
        <v>687.01</v>
      </c>
      <c r="J74" t="n">
        <v>486.21</v>
      </c>
      <c r="K74" t="n">
        <v>0.4738</v>
      </c>
      <c r="L74" t="n">
        <v>0.45</v>
      </c>
    </row>
    <row r="75">
      <c r="A75" t="inlineStr">
        <is>
          <t>Exchange 4</t>
        </is>
      </c>
      <c r="B75" t="n">
        <v>90</v>
      </c>
      <c r="C75" t="n">
        <v>697830</v>
      </c>
      <c r="D75" t="n">
        <v>527745</v>
      </c>
      <c r="E75" t="n">
        <v>527745</v>
      </c>
      <c r="F75" t="n">
        <v>0.7563</v>
      </c>
      <c r="G75" t="n">
        <v>466.14</v>
      </c>
      <c r="H75" t="n">
        <v>263.8</v>
      </c>
      <c r="I75" t="n">
        <v>738.77</v>
      </c>
      <c r="J75" t="n">
        <v>501.29</v>
      </c>
      <c r="K75" t="n">
        <v>0.5849</v>
      </c>
      <c r="L75" t="n">
        <v>0.426</v>
      </c>
    </row>
    <row r="76">
      <c r="A76" t="inlineStr">
        <is>
          <t>Exchange 4</t>
        </is>
      </c>
      <c r="B76" t="n">
        <v>100</v>
      </c>
      <c r="C76" t="n">
        <v>697830</v>
      </c>
      <c r="D76" t="n">
        <v>545046</v>
      </c>
      <c r="E76" t="n">
        <v>545046</v>
      </c>
      <c r="F76" t="n">
        <v>0.7811</v>
      </c>
      <c r="G76" t="n">
        <v>466.14</v>
      </c>
      <c r="H76" t="n">
        <v>247.48</v>
      </c>
      <c r="I76" t="n">
        <v>792.53</v>
      </c>
      <c r="J76" t="n">
        <v>520</v>
      </c>
      <c r="K76" t="n">
        <v>0.7002</v>
      </c>
      <c r="L76" t="n">
        <v>0.4012</v>
      </c>
    </row>
    <row r="77">
      <c r="A77" t="inlineStr">
        <is>
          <t>Exchange 4</t>
        </is>
      </c>
      <c r="B77" t="n">
        <v>110</v>
      </c>
      <c r="C77" t="n">
        <v>697830</v>
      </c>
      <c r="D77" t="n">
        <v>576068</v>
      </c>
      <c r="E77" t="n">
        <v>576068</v>
      </c>
      <c r="F77" t="n">
        <v>0.8255</v>
      </c>
      <c r="G77" t="n">
        <v>466.14</v>
      </c>
      <c r="H77" t="n">
        <v>214.98</v>
      </c>
      <c r="I77" t="n">
        <v>848.66</v>
      </c>
      <c r="J77" t="n">
        <v>531.8200000000001</v>
      </c>
      <c r="K77" t="n">
        <v>0.8206</v>
      </c>
      <c r="L77" t="n">
        <v>0.3963</v>
      </c>
    </row>
    <row r="78">
      <c r="A78" t="inlineStr">
        <is>
          <t>Exchange 4</t>
        </is>
      </c>
      <c r="B78" t="n">
        <v>120</v>
      </c>
      <c r="C78" t="n">
        <v>697830</v>
      </c>
      <c r="D78" t="n">
        <v>591349</v>
      </c>
      <c r="E78" t="n">
        <v>591349</v>
      </c>
      <c r="F78" t="n">
        <v>0.8474</v>
      </c>
      <c r="G78" t="n">
        <v>466.14</v>
      </c>
      <c r="H78" t="n">
        <v>197.43</v>
      </c>
      <c r="I78" t="n">
        <v>907.05</v>
      </c>
      <c r="J78" t="n">
        <v>552.24</v>
      </c>
      <c r="K78" t="n">
        <v>0.9459</v>
      </c>
      <c r="L78" t="n">
        <v>0.3787</v>
      </c>
    </row>
    <row r="79">
      <c r="A79" t="inlineStr">
        <is>
          <t>Exchange 4</t>
        </is>
      </c>
      <c r="B79" t="n">
        <v>130</v>
      </c>
      <c r="C79" t="n">
        <v>697830</v>
      </c>
      <c r="D79" t="n">
        <v>602942</v>
      </c>
      <c r="E79" t="n">
        <v>602942</v>
      </c>
      <c r="F79" t="n">
        <v>0.864</v>
      </c>
      <c r="G79" t="n">
        <v>466.14</v>
      </c>
      <c r="H79" t="n">
        <v>183.01</v>
      </c>
      <c r="I79" t="n">
        <v>966.83</v>
      </c>
      <c r="J79" t="n">
        <v>574.92</v>
      </c>
      <c r="K79" t="n">
        <v>1.0741</v>
      </c>
      <c r="L79" t="n">
        <v>0.3612</v>
      </c>
    </row>
    <row r="80">
      <c r="A80" t="inlineStr">
        <is>
          <t>Exchange 4</t>
        </is>
      </c>
      <c r="B80" t="n">
        <v>140</v>
      </c>
      <c r="C80" t="n">
        <v>697830</v>
      </c>
      <c r="D80" t="n">
        <v>614352</v>
      </c>
      <c r="E80" t="n">
        <v>614352</v>
      </c>
      <c r="F80" t="n">
        <v>0.8804</v>
      </c>
      <c r="G80" t="n">
        <v>466.14</v>
      </c>
      <c r="H80" t="n">
        <v>167.71</v>
      </c>
      <c r="I80" t="n">
        <v>1027.81</v>
      </c>
      <c r="J80" t="n">
        <v>597.76</v>
      </c>
      <c r="K80" t="n">
        <v>1.2049</v>
      </c>
      <c r="L80" t="n">
        <v>0.347</v>
      </c>
    </row>
    <row r="81">
      <c r="A81" t="inlineStr">
        <is>
          <t>Exchange 4</t>
        </is>
      </c>
      <c r="B81" t="n">
        <v>150</v>
      </c>
      <c r="C81" t="n">
        <v>697830</v>
      </c>
      <c r="D81" t="n">
        <v>625354</v>
      </c>
      <c r="E81" t="n">
        <v>625354</v>
      </c>
      <c r="F81" t="n">
        <v>0.8961</v>
      </c>
      <c r="G81" t="n">
        <v>466.14</v>
      </c>
      <c r="H81" t="n">
        <v>151.77</v>
      </c>
      <c r="I81" t="n">
        <v>1089.8</v>
      </c>
      <c r="J81" t="n">
        <v>620.79</v>
      </c>
      <c r="K81" t="n">
        <v>1.3379</v>
      </c>
      <c r="L81" t="n">
        <v>0.3351</v>
      </c>
    </row>
    <row r="82">
      <c r="A82" t="inlineStr">
        <is>
          <t>Mobile/unknown</t>
        </is>
      </c>
      <c r="B82" t="n">
        <v>0</v>
      </c>
      <c r="C82" t="n">
        <v>467421</v>
      </c>
      <c r="D82" t="n">
        <v>0</v>
      </c>
      <c r="E82" t="n">
        <v>0</v>
      </c>
      <c r="F82" t="n">
        <v>0</v>
      </c>
      <c r="G82" t="n">
        <v>282.42</v>
      </c>
      <c r="H82" t="n">
        <v>282.42</v>
      </c>
      <c r="I82" t="n">
        <v>282.42</v>
      </c>
      <c r="J82" t="n">
        <v>282.42</v>
      </c>
      <c r="K82" t="n">
        <v>0</v>
      </c>
    </row>
    <row r="83">
      <c r="A83" t="inlineStr">
        <is>
          <t>Mobile/unknown</t>
        </is>
      </c>
      <c r="B83" t="n">
        <v>10</v>
      </c>
      <c r="C83" t="n">
        <v>467421</v>
      </c>
      <c r="D83" t="n">
        <v>85333</v>
      </c>
      <c r="E83" t="n">
        <v>85333</v>
      </c>
      <c r="F83" t="n">
        <v>0.1826</v>
      </c>
      <c r="G83" t="n">
        <v>282.42</v>
      </c>
      <c r="H83" t="n">
        <v>277.06</v>
      </c>
      <c r="I83" t="n">
        <v>285.59</v>
      </c>
      <c r="J83" t="n">
        <v>281.32</v>
      </c>
      <c r="K83" t="n">
        <v>0.0112</v>
      </c>
      <c r="L83" t="n">
        <v>0.6289</v>
      </c>
    </row>
    <row r="84">
      <c r="A84" t="inlineStr">
        <is>
          <t>Mobile/unknown</t>
        </is>
      </c>
      <c r="B84" t="n">
        <v>20</v>
      </c>
      <c r="C84" t="n">
        <v>467421</v>
      </c>
      <c r="D84" t="n">
        <v>137476</v>
      </c>
      <c r="E84" t="n">
        <v>137476</v>
      </c>
      <c r="F84" t="n">
        <v>0.2941</v>
      </c>
      <c r="G84" t="n">
        <v>282.42</v>
      </c>
      <c r="H84" t="n">
        <v>269.58</v>
      </c>
      <c r="I84" t="n">
        <v>297.07</v>
      </c>
      <c r="J84" t="n">
        <v>283.33</v>
      </c>
      <c r="K84" t="n">
        <v>0.0519</v>
      </c>
      <c r="L84" t="n">
        <v>0.4672</v>
      </c>
    </row>
    <row r="85">
      <c r="A85" t="inlineStr">
        <is>
          <t>Mobile/unknown</t>
        </is>
      </c>
      <c r="B85" t="n">
        <v>30</v>
      </c>
      <c r="C85" t="n">
        <v>467421</v>
      </c>
      <c r="D85" t="n">
        <v>183609</v>
      </c>
      <c r="E85" t="n">
        <v>183609</v>
      </c>
      <c r="F85" t="n">
        <v>0.3928</v>
      </c>
      <c r="G85" t="n">
        <v>282.42</v>
      </c>
      <c r="H85" t="n">
        <v>258.33</v>
      </c>
      <c r="I85" t="n">
        <v>313.41</v>
      </c>
      <c r="J85" t="n">
        <v>285.87</v>
      </c>
      <c r="K85" t="n">
        <v>0.1097</v>
      </c>
      <c r="L85" t="n">
        <v>0.4374</v>
      </c>
    </row>
    <row r="86">
      <c r="A86" t="inlineStr">
        <is>
          <t>Mobile/unknown</t>
        </is>
      </c>
      <c r="B86" t="n">
        <v>40</v>
      </c>
      <c r="C86" t="n">
        <v>467421</v>
      </c>
      <c r="D86" t="n">
        <v>239437</v>
      </c>
      <c r="E86" t="n">
        <v>239437</v>
      </c>
      <c r="F86" t="n">
        <v>0.5123</v>
      </c>
      <c r="G86" t="n">
        <v>282.42</v>
      </c>
      <c r="H86" t="n">
        <v>239.77</v>
      </c>
      <c r="I86" t="n">
        <v>335.54</v>
      </c>
      <c r="J86" t="n">
        <v>287.66</v>
      </c>
      <c r="K86" t="n">
        <v>0.1881</v>
      </c>
      <c r="L86" t="n">
        <v>0.4454</v>
      </c>
    </row>
    <row r="87">
      <c r="A87" t="inlineStr">
        <is>
          <t>Mobile/unknown</t>
        </is>
      </c>
      <c r="B87" t="n">
        <v>50</v>
      </c>
      <c r="C87" t="n">
        <v>467421</v>
      </c>
      <c r="D87" t="n">
        <v>273184</v>
      </c>
      <c r="E87" t="n">
        <v>273184</v>
      </c>
      <c r="F87" t="n">
        <v>0.5844</v>
      </c>
      <c r="G87" t="n">
        <v>282.42</v>
      </c>
      <c r="H87" t="n">
        <v>224.81</v>
      </c>
      <c r="I87" t="n">
        <v>361.4</v>
      </c>
      <c r="J87" t="n">
        <v>293.11</v>
      </c>
      <c r="K87" t="n">
        <v>0.2796</v>
      </c>
      <c r="L87" t="n">
        <v>0.4218</v>
      </c>
    </row>
    <row r="88">
      <c r="A88" t="inlineStr">
        <is>
          <t>Mobile/unknown</t>
        </is>
      </c>
      <c r="B88" t="n">
        <v>60</v>
      </c>
      <c r="C88" t="n">
        <v>467421</v>
      </c>
      <c r="D88" t="n">
        <v>300410</v>
      </c>
      <c r="E88" t="n">
        <v>300410</v>
      </c>
      <c r="F88" t="n">
        <v>0.6427</v>
      </c>
      <c r="G88" t="n">
        <v>282.42</v>
      </c>
      <c r="H88" t="n">
        <v>210.03</v>
      </c>
      <c r="I88" t="n">
        <v>390.28</v>
      </c>
      <c r="J88" t="n">
        <v>300.15</v>
      </c>
      <c r="K88" t="n">
        <v>0.3819</v>
      </c>
      <c r="L88" t="n">
        <v>0.4016</v>
      </c>
    </row>
    <row r="89">
      <c r="A89" t="inlineStr">
        <is>
          <t>Mobile/unknown</t>
        </is>
      </c>
      <c r="B89" t="n">
        <v>70</v>
      </c>
      <c r="C89" t="n">
        <v>467421</v>
      </c>
      <c r="D89" t="n">
        <v>324830</v>
      </c>
      <c r="E89" t="n">
        <v>324830</v>
      </c>
      <c r="F89" t="n">
        <v>0.6949</v>
      </c>
      <c r="G89" t="n">
        <v>282.42</v>
      </c>
      <c r="H89" t="n">
        <v>194.34</v>
      </c>
      <c r="I89" t="n">
        <v>421.72</v>
      </c>
      <c r="J89" t="n">
        <v>308.03</v>
      </c>
      <c r="K89" t="n">
        <v>0.4932</v>
      </c>
      <c r="L89" t="n">
        <v>0.3874</v>
      </c>
    </row>
    <row r="90">
      <c r="A90" t="inlineStr">
        <is>
          <t>Mobile/unknown</t>
        </is>
      </c>
      <c r="B90" t="n">
        <v>80</v>
      </c>
      <c r="C90" t="n">
        <v>467421</v>
      </c>
      <c r="D90" t="n">
        <v>343093</v>
      </c>
      <c r="E90" t="n">
        <v>343093</v>
      </c>
      <c r="F90" t="n">
        <v>0.734</v>
      </c>
      <c r="G90" t="n">
        <v>282.42</v>
      </c>
      <c r="H90" t="n">
        <v>180.77</v>
      </c>
      <c r="I90" t="n">
        <v>455.24</v>
      </c>
      <c r="J90" t="n">
        <v>318</v>
      </c>
      <c r="K90" t="n">
        <v>0.6119</v>
      </c>
      <c r="L90" t="n">
        <v>0.3704</v>
      </c>
    </row>
    <row r="91">
      <c r="A91" t="inlineStr">
        <is>
          <t>Mobile/unknown</t>
        </is>
      </c>
      <c r="B91" t="n">
        <v>90</v>
      </c>
      <c r="C91" t="n">
        <v>467421</v>
      </c>
      <c r="D91" t="n">
        <v>358826</v>
      </c>
      <c r="E91" t="n">
        <v>358826</v>
      </c>
      <c r="F91" t="n">
        <v>0.7677</v>
      </c>
      <c r="G91" t="n">
        <v>282.42</v>
      </c>
      <c r="H91" t="n">
        <v>167.5</v>
      </c>
      <c r="I91" t="n">
        <v>490.45</v>
      </c>
      <c r="J91" t="n">
        <v>328.98</v>
      </c>
      <c r="K91" t="n">
        <v>0.7366</v>
      </c>
      <c r="L91" t="n">
        <v>0.3559</v>
      </c>
    </row>
    <row r="92">
      <c r="A92" t="inlineStr">
        <is>
          <t>Mobile/unknown</t>
        </is>
      </c>
      <c r="B92" t="n">
        <v>100</v>
      </c>
      <c r="C92" t="n">
        <v>467421</v>
      </c>
      <c r="D92" t="n">
        <v>371632</v>
      </c>
      <c r="E92" t="n">
        <v>371632</v>
      </c>
      <c r="F92" t="n">
        <v>0.7951</v>
      </c>
      <c r="G92" t="n">
        <v>282.42</v>
      </c>
      <c r="H92" t="n">
        <v>155.42</v>
      </c>
      <c r="I92" t="n">
        <v>527.05</v>
      </c>
      <c r="J92" t="n">
        <v>341.23</v>
      </c>
      <c r="K92" t="n">
        <v>0.8662</v>
      </c>
      <c r="L92" t="n">
        <v>0.3418</v>
      </c>
    </row>
    <row r="93">
      <c r="A93" t="inlineStr">
        <is>
          <t>Mobile/unknown</t>
        </is>
      </c>
      <c r="B93" t="n">
        <v>110</v>
      </c>
      <c r="C93" t="n">
        <v>467421</v>
      </c>
      <c r="D93" t="n">
        <v>382752</v>
      </c>
      <c r="E93" t="n">
        <v>382752</v>
      </c>
      <c r="F93" t="n">
        <v>0.8189</v>
      </c>
      <c r="G93" t="n">
        <v>282.42</v>
      </c>
      <c r="H93" t="n">
        <v>143.81</v>
      </c>
      <c r="I93" t="n">
        <v>564.84</v>
      </c>
      <c r="J93" t="n">
        <v>354.32</v>
      </c>
      <c r="K93" t="n">
        <v>1</v>
      </c>
      <c r="L93" t="n">
        <v>0.3292</v>
      </c>
    </row>
    <row r="94">
      <c r="A94" t="inlineStr">
        <is>
          <t>Mobile/unknown</t>
        </is>
      </c>
      <c r="B94" t="n">
        <v>120</v>
      </c>
      <c r="C94" t="n">
        <v>467421</v>
      </c>
      <c r="D94" t="n">
        <v>392246</v>
      </c>
      <c r="E94" t="n">
        <v>392246</v>
      </c>
      <c r="F94" t="n">
        <v>0.8391999999999999</v>
      </c>
      <c r="G94" t="n">
        <v>282.42</v>
      </c>
      <c r="H94" t="n">
        <v>132.95</v>
      </c>
      <c r="I94" t="n">
        <v>603.65</v>
      </c>
      <c r="J94" t="n">
        <v>368.3</v>
      </c>
      <c r="K94" t="n">
        <v>1.1374</v>
      </c>
      <c r="L94" t="n">
        <v>0.3176</v>
      </c>
    </row>
    <row r="95">
      <c r="A95" t="inlineStr">
        <is>
          <t>Mobile/unknown</t>
        </is>
      </c>
      <c r="B95" t="n">
        <v>130</v>
      </c>
      <c r="C95" t="n">
        <v>467421</v>
      </c>
      <c r="D95" t="n">
        <v>400662</v>
      </c>
      <c r="E95" t="n">
        <v>400662</v>
      </c>
      <c r="F95" t="n">
        <v>0.8572</v>
      </c>
      <c r="G95" t="n">
        <v>282.42</v>
      </c>
      <c r="H95" t="n">
        <v>122.48</v>
      </c>
      <c r="I95" t="n">
        <v>643.34</v>
      </c>
      <c r="J95" t="n">
        <v>382.91</v>
      </c>
      <c r="K95" t="n">
        <v>1.2779</v>
      </c>
      <c r="L95" t="n">
        <v>0.3071</v>
      </c>
    </row>
    <row r="96">
      <c r="A96" t="inlineStr">
        <is>
          <t>Mobile/unknown</t>
        </is>
      </c>
      <c r="B96" t="n">
        <v>140</v>
      </c>
      <c r="C96" t="n">
        <v>467421</v>
      </c>
      <c r="D96" t="n">
        <v>408002</v>
      </c>
      <c r="E96" t="n">
        <v>408002</v>
      </c>
      <c r="F96" t="n">
        <v>0.8729</v>
      </c>
      <c r="G96" t="n">
        <v>282.42</v>
      </c>
      <c r="H96" t="n">
        <v>112.62</v>
      </c>
      <c r="I96" t="n">
        <v>683.8200000000001</v>
      </c>
      <c r="J96" t="n">
        <v>398.22</v>
      </c>
      <c r="K96" t="n">
        <v>1.4213</v>
      </c>
      <c r="L96" t="n">
        <v>0.2973</v>
      </c>
    </row>
    <row r="97">
      <c r="A97" t="inlineStr">
        <is>
          <t>Mobile/unknown</t>
        </is>
      </c>
      <c r="B97" t="n">
        <v>150</v>
      </c>
      <c r="C97" t="n">
        <v>467421</v>
      </c>
      <c r="D97" t="n">
        <v>420259</v>
      </c>
      <c r="E97" t="n">
        <v>420259</v>
      </c>
      <c r="F97" t="n">
        <v>0.8991</v>
      </c>
      <c r="G97" t="n">
        <v>282.42</v>
      </c>
      <c r="H97" t="n">
        <v>95.16</v>
      </c>
      <c r="I97" t="n">
        <v>725.55</v>
      </c>
      <c r="J97" t="n">
        <v>410.35</v>
      </c>
      <c r="K97" t="n">
        <v>1.569</v>
      </c>
      <c r="L97" t="n">
        <v>0.2971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2026-10-24T14:40:30Z</dcterms:created>
  <dcterms:modified xsi:type="dcterms:W3CDTF">2026-10-24T14:40:30Z</dcterms:modified>
</cp:coreProperties>
</file>